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heampierre\Desktop\"/>
    </mc:Choice>
  </mc:AlternateContent>
  <xr:revisionPtr revIDLastSave="0" documentId="8_{8C349B4C-09E5-418D-8C76-423E207CF5E0}" xr6:coauthVersionLast="47" xr6:coauthVersionMax="47" xr10:uidLastSave="{00000000-0000-0000-0000-000000000000}"/>
  <bookViews>
    <workbookView xWindow="-120" yWindow="-120" windowWidth="29040" windowHeight="16440" tabRatio="670" firstSheet="2" activeTab="6" xr2:uid="{00000000-000D-0000-FFFF-FFFF00000000}"/>
  </bookViews>
  <sheets>
    <sheet name="Resumen" sheetId="1" r:id="rId1"/>
    <sheet name="Historias de Usuario" sheetId="2" r:id="rId2"/>
    <sheet name="Criterios Aceptacion" sheetId="4" r:id="rId3"/>
    <sheet name="Requerimientos Func-NoFunc" sheetId="5" r:id="rId4"/>
    <sheet name="Backlog" sheetId="3" r:id="rId5"/>
    <sheet name="Plan de Sprints" sheetId="6" r:id="rId6"/>
    <sheet name="Gantt" sheetId="10" r:id="rId7"/>
    <sheet name="Matriz de Riesgos" sheetId="13" r:id="rId8"/>
    <sheet name="Flujo Financiero" sheetId="7" r:id="rId9"/>
    <sheet name="Matriz de acceso" sheetId="8" r:id="rId10"/>
    <sheet name="Equipo y Roles" sheetId="9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10" l="1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G21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G20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G19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G18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G17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G16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G15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G14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G12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G11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G13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G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G8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G7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G6" i="10"/>
  <c r="I35" i="2"/>
  <c r="D5" i="6"/>
  <c r="D4" i="6"/>
  <c r="D6" i="6"/>
  <c r="B10" i="6"/>
  <c r="T7" i="6"/>
  <c r="S7" i="6"/>
  <c r="R7" i="6"/>
  <c r="Q7" i="6"/>
  <c r="N7" i="6"/>
  <c r="M7" i="6"/>
  <c r="L7" i="6"/>
  <c r="K7" i="6"/>
  <c r="J7" i="6"/>
  <c r="I7" i="6"/>
  <c r="O6" i="6"/>
  <c r="L6" i="6"/>
  <c r="K6" i="6"/>
  <c r="J6" i="6"/>
  <c r="I6" i="6"/>
  <c r="T5" i="6"/>
  <c r="S5" i="6"/>
  <c r="R5" i="6"/>
  <c r="Q5" i="6"/>
  <c r="J5" i="6"/>
  <c r="I5" i="6"/>
  <c r="T4" i="6"/>
  <c r="S4" i="6"/>
  <c r="R4" i="6"/>
  <c r="Q4" i="6"/>
  <c r="P4" i="6"/>
  <c r="O4" i="6"/>
  <c r="N4" i="6"/>
  <c r="M4" i="6"/>
  <c r="J4" i="6"/>
  <c r="I4" i="6"/>
  <c r="B15" i="1"/>
  <c r="B14" i="1"/>
  <c r="B13" i="1"/>
  <c r="B12" i="1"/>
  <c r="C10" i="6" l="1"/>
</calcChain>
</file>

<file path=xl/sharedStrings.xml><?xml version="1.0" encoding="utf-8"?>
<sst xmlns="http://schemas.openxmlformats.org/spreadsheetml/2006/main" count="1918" uniqueCount="1122">
  <si>
    <t>Banca Online Integral</t>
  </si>
  <si>
    <t>ALCANCE FUNCIONAL Y DE CONTROL</t>
  </si>
  <si>
    <t>Canales</t>
  </si>
  <si>
    <t>Banca online y billetera digital con acceso reforzado.</t>
  </si>
  <si>
    <t>Operaciones</t>
  </si>
  <si>
    <t>Transferencias propias y a terceros, pagos QR, recargas y retiros.</t>
  </si>
  <si>
    <t>Créditos</t>
  </si>
  <si>
    <t>Simulación, solicitud, evaluación, desembolso y cronograma de préstamos.</t>
  </si>
  <si>
    <t>Control</t>
  </si>
  <si>
    <t>Partida doble, conciliación, fraude, cumplimiento, roles y auditoría.</t>
  </si>
  <si>
    <t>INDICADOR</t>
  </si>
  <si>
    <t>RESULTADO</t>
  </si>
  <si>
    <t>QUÉ DEMUESTRA EL PROYECTO</t>
  </si>
  <si>
    <t>Historias de usuario</t>
  </si>
  <si>
    <t>Seguridad</t>
  </si>
  <si>
    <t>KYC, MFA/biometría, mínimo privilegio y sesiones seguras.</t>
  </si>
  <si>
    <t>Historias Must</t>
  </si>
  <si>
    <t>Dinero</t>
  </si>
  <si>
    <t>Validación, autorización, contabilización, liquidación y conciliación.</t>
  </si>
  <si>
    <t>Historias en MVP</t>
  </si>
  <si>
    <t>Transferencias</t>
  </si>
  <si>
    <t>Cuentas propias, terceros, beneficiarios y controles de duplicidad.</t>
  </si>
  <si>
    <t>Story Points del MVP</t>
  </si>
  <si>
    <t>Préstamos</t>
  </si>
  <si>
    <t>Evaluación separada del solicitante y desembolso solo tras aprobación.</t>
  </si>
  <si>
    <t>Sprints estimados</t>
  </si>
  <si>
    <t>Supervisión</t>
  </si>
  <si>
    <t>Roles diferenciados para operaciones, fraude, crédito y cumplimiento.</t>
  </si>
  <si>
    <t>Épicas</t>
  </si>
  <si>
    <t>Evidencia</t>
  </si>
  <si>
    <t>Trazabilidad completa; los movimientos se revierten, no se borran.</t>
  </si>
  <si>
    <t>Historias de usuario — MVP Bancario (Sistema de Cuentas y Transacciones)</t>
  </si>
  <si>
    <t>ID</t>
  </si>
  <si>
    <t>Épica</t>
  </si>
  <si>
    <t>Sprint</t>
  </si>
  <si>
    <t>Módulo</t>
  </si>
  <si>
    <t>Rol</t>
  </si>
  <si>
    <t>Historia de Usuario</t>
  </si>
  <si>
    <t>Criterios de Aceptación</t>
  </si>
  <si>
    <t>Prioridad (MoSCoW)</t>
  </si>
  <si>
    <t>Story Points</t>
  </si>
  <si>
    <t>En MVP</t>
  </si>
  <si>
    <t>HU01</t>
  </si>
  <si>
    <t>Épica 1 – Identidad, Biometría y KYC</t>
  </si>
  <si>
    <t>Sprint 1</t>
  </si>
  <si>
    <t>Registro y KYC Biométrico</t>
  </si>
  <si>
    <t>Cliente</t>
  </si>
  <si>
    <t>Como cliente nuevo, quiero registrarme escaneando mi documento de identidad y validando mi rostro con Liveness Detection para aperturar mi cuenta digital de forma segura sin ir a una agencia.</t>
  </si>
  <si>
    <t>CA1: El sistema debe permitir capturar y leer los datos del documento de identidad mediante OCR con precisión mínima del 95%.
CA2: El sistema debe ejecutar una prueba de vida (liveness detection) para descartar fotos, videos o máscaras antes de continuar el registro.
CA3: El sistema debe comparar el rostro capturado contra la foto del documento y contra la base oficial (RENIEC), continuando solo si el match supera el umbral configurado.
CA4: Si la validación falla, el sistema debe informar el motivo al cliente, permitir reintentos limitados y derivar el caso a revisión manual si persiste.</t>
  </si>
  <si>
    <t>Must</t>
  </si>
  <si>
    <t>Sí</t>
  </si>
  <si>
    <t>HU02</t>
  </si>
  <si>
    <t>Verificación y Activación de Cuenta</t>
  </si>
  <si>
    <t>Como cliente nuevo, quiero confirmar mi registro mediante un código de verificación enviado a mi correo o celular para activar mi cuenta digital antes de iniciar sesión por primera vez.</t>
  </si>
  <si>
    <t>CA1: El sistema debe enviar un código de verificación de un solo uso (OTP) al correo o número celular registrado inmediatamente después de completado el KYC.
CA2: El sistema debe validar el código ingresado y activar la cuenta solo si coincide y no ha expirado (máximo 10 minutos).
CA3: El sistema debe permitir reenviar el código hasta 3 veces respetando un tiempo de espera entre solicitudes.
CA4: Una vez activada la cuenta, el sistema debe notificar al cliente y habilitarlo para iniciar sesión con sus credenciales biométricas.</t>
  </si>
  <si>
    <t>HU03</t>
  </si>
  <si>
    <t>Autenticación BioFacial y Multi-factor</t>
  </si>
  <si>
    <t>Como cliente, quiero ingresar a la banca móvil mediante reconocimiento facial rápido o biométricos secundarios (Huella/PIN) para acceder sin recordar contraseñas complejas.</t>
  </si>
  <si>
    <t>CA1: El sistema debe permitir el ingreso mediante reconocimiento facial en menos de 1.5 segundos como método principal.
CA2: El sistema debe ofrecer huella digital o PIN como método alternativo ante fallas del reconocimiento facial.
CA3: El sistema debe bloquear temporalmente la cuenta tras 5 intentos fallidos consecutivos y notificar al cliente.
CA4: El sistema debe cerrar automáticamente la sesión tras un período de inactividad configurado y exigir una nueva autenticación.</t>
  </si>
  <si>
    <t>HU04</t>
  </si>
  <si>
    <t>Recuperación de Cuenta con Biometría</t>
  </si>
  <si>
    <t>Como cliente, quiero recuperar mi acceso o desbloquear mi usuario mediante re-validación de biometría facial para restablecer mis credenciales de forma autónoma.</t>
  </si>
  <si>
    <t>CA1: El sistema debe permitir solicitar la recuperación de acceso desde la pantalla de login sin necesidad de contraseña previa.
CA2: El sistema debe re-validar el rostro del cliente contra el patrón biométrico almacenado antes de habilitar el restablecimiento.
CA3: El sistema debe permitir establecer una nueva contraseña o PIN únicamente después de una validación facial exitosa.
CA4: El sistema debe notificar al cliente por correo y push que sus credenciales fueron restablecidas, incluyendo fecha y dispositivo.</t>
  </si>
  <si>
    <t>Should</t>
  </si>
  <si>
    <t>HU05</t>
  </si>
  <si>
    <t>Épica 2 – Cuentas y Transacciones</t>
  </si>
  <si>
    <t>Consolidado de Cuentas y Saldos</t>
  </si>
  <si>
    <t>Como cliente, quiero consultar saldos disponibles, fondos retenidos y movimientos en tiempo real para mantener control de mi patrimonio.</t>
  </si>
  <si>
    <t>CA1: El sistema debe mostrar en el dashboard todas las cuentas del cliente con su tipo, número enmascarado y saldo disponible.
CA2: El sistema debe diferenciar el saldo contable del saldo disponible, incluyendo fondos retenidos.
CA3: El sistema debe listar los movimientos recientes de cada cuenta en tiempo real al seleccionarla.
CA4: El sistema debe permitir exportar el detalle de movimientos en un formato descargable (PDF o Excel).</t>
  </si>
  <si>
    <t>HU06</t>
  </si>
  <si>
    <t>Transferencias Propias e Interbancarias</t>
  </si>
  <si>
    <t>Como cliente, quiero transferir dinero entre mis cuentas y a terceros (mismo banco o interbancarias inmediatas) para mover mis fondos sin comisión oculta.</t>
  </si>
  <si>
    <t>CA1: El sistema debe permitir transferir fondos entre cuentas propias de forma inmediata y sin costo.
CA2: El sistema debe permitir transferencias interbancarias mediante CCI/CCE, validando al titular antes de confirmar la operación.
CA3: El sistema debe rechazar la operación sin afectar saldos cuando los fondos sean insuficientes.
CA4: El sistema debe generar un comprobante descargable con fecha, monto, cuentas involucradas y número de operación.</t>
  </si>
  <si>
    <t>HU08</t>
  </si>
  <si>
    <t>Sprint 2</t>
  </si>
  <si>
    <t>Autorización Biométrico-Facial de Pagos Altamente Sensibles</t>
  </si>
  <si>
    <t>Como cliente, quiero confirmar transferencias de alto monto mediante escaneo facial instantáneo para garantizar que nadie transfiera sin mi presencia física, y que el sistema restrinja transacciones según mi perfil de riesgo.</t>
  </si>
  <si>
    <t>CA1: El sistema debe solicitar una validación facial adicional cuando el monto de la transferencia supere el umbral de seguridad parametrizado.
CA2: El sistema debe restringir el envío de la transacción hasta que la biometría sea validada exitosamente.
CA3: El sistema debe aplicar límites de transacción según el perfil de riesgo del cliente.
CA4: El sistema debe registrar y notificar cualquier intento fallido de autorización biométrica como evento de seguridad.</t>
  </si>
  <si>
    <t>HU07</t>
  </si>
  <si>
    <t>Gestión de Beneficiarios Frecuentes</t>
  </si>
  <si>
    <t>Como cliente, quiero guardar y agrupar beneficiarios frecuentes con alias y fotos para reducir errores en transferencias recurrentes.</t>
  </si>
  <si>
    <t>CA1: El sistema debe permitir guardar un beneficiario con alias, foto y datos de cuenta tras una transferencia exitosa.
CA2: El sistema debe permitir buscar y agrupar los beneficiarios guardados por alias o nombre.
CA3: El sistema debe permitir configurar un límite de monto pre-aprobado por beneficiario frecuente.
CA4: El sistema debe permitir editar o eliminar un beneficiario guardado en cualquier momento.</t>
  </si>
  <si>
    <t>HU09</t>
  </si>
  <si>
    <t>Épica 3 – Créditos Digitales</t>
  </si>
  <si>
    <t>Simulador Inteligente de Créditos</t>
  </si>
  <si>
    <t>Como cliente, quiero simular monto, plazo, tasa TCEA y cuota estimada para evaluar opciones de financiamiento antes de solicitar un crédito.</t>
  </si>
  <si>
    <t>CA1: El sistema debe calcular la cuota estimada según el monto, plazo y tasa TCEA ingresados por el cliente.
CA2: El sistema debe mostrar un cronograma de pagos provisional con el detalle de capital e intereses.
CA3: El sistema debe permitir incluir opcionalmente un seguro de desgravamen en la simulación.
CA4: El sistema debe permitir descargar o compartir el resultado de la simulación.</t>
  </si>
  <si>
    <t>HU10</t>
  </si>
  <si>
    <t>Solicitud y Evaluación Crediticia Automática</t>
  </si>
  <si>
    <t>Como cliente, quiero solicitar un préstamo digital y autorizar la consulta en centrales de riesgo para recibir una respuesta de aprobación inmediata.</t>
  </si>
  <si>
    <t>CA1: El sistema debe permitir enviar una solicitud de préstamo solo si el cliente autoriza la consulta en centrales de riesgo.
CA2: El sistema debe validar que la solicitud tenga todos los datos obligatorios antes de iniciar la evaluación.
CA3: El sistema debe consultar el motor de riesgos y el score interno para generar una pre-calificación en minutos.
CA4: El sistema debe notificar al cliente el resultado de la evaluación con un estado claro (aprobado, rechazado, en revisión).</t>
  </si>
  <si>
    <t>HU11</t>
  </si>
  <si>
    <t>Firma Digital de Contrato con Biometría Facial</t>
  </si>
  <si>
    <t>Como cliente, quiero firmar digitalmente mi contrato de préstamo validando mi rostro como consentimiento explícito para legalizar la operación sin papeleo.</t>
  </si>
  <si>
    <t>CA1: El sistema debe generar el contrato de préstamo con las condiciones aprobadas antes de solicitar la firma.
CA2: El sistema debe validar el rostro del cliente como mecanismo de consentimiento explícito para firmar el contrato.
CA3: El sistema debe adjuntar el token facial a la firma digital certificada del documento.
CA4: El sistema debe enviar el pagaré y contrato sellado al correo del cliente tras la firma.</t>
  </si>
  <si>
    <t>HU12</t>
  </si>
  <si>
    <t>Desembolso Inmediato y Programación de Cuotas</t>
  </si>
  <si>
    <t>Como cliente, quiero recibir el desembolso directamente en mi cuenta elegida y visualizar mi cronograma de pagos definitivo para abonar mis cuotas a tiempo.</t>
  </si>
  <si>
    <t>CA1: El sistema debe acreditar el monto aprobado en la cuenta elegida por el cliente de forma inmediata tras la firma.
CA2: El sistema debe generar el cronograma de pagos definitivo con fechas y montos de cada cuota.
CA3: El sistema debe permitir habilitar el débito automático de las cuotas desde la cuenta elegida.
CA4: El sistema debe notificar al cliente la fecha y monto de cada cuota próxima a vencer.</t>
  </si>
  <si>
    <t>HU13</t>
  </si>
  <si>
    <t>Épica 4 – Billetera y Pagos QR</t>
  </si>
  <si>
    <t>Sprint 3</t>
  </si>
  <si>
    <t>Billetera Digital e Interoperabilidad</t>
  </si>
  <si>
    <t>Como cliente, quiero vincular una tarjeta/cuenta a mi billetera digital para realizar pagos rápidos sin digitar claves en comercios.</t>
  </si>
  <si>
    <t>CA1: El sistema debe permitir vincular una tarjeta o cuenta del cliente a la billetera digital.
CA2: El sistema debe procesar pagos en comercios sin requerir el ingreso de claves adicionales.
CA3: El sistema debe operar de forma interoperable con las redes de pago de la industria.
CA4: El sistema debe aplicar límites diarios configurables a las operaciones express de la billetera.</t>
  </si>
  <si>
    <t>HU14</t>
  </si>
  <si>
    <t>Generación y Cobro con QR Dinámico/Estático</t>
  </si>
  <si>
    <t>Comercio</t>
  </si>
  <si>
    <t>Como comercio, quiero generar códigos QR con monto y concepto específico para cobrar a mis clientes de forma ágil sin terminal POS físico.</t>
  </si>
  <si>
    <t>CA1: El sistema debe permitir generar un código QR con monto y concepto específico para cada cobro.
CA2: El sistema debe permitir configurar la caducidad del código QR generado.
CA3: El sistema debe garantizar la interoperabilidad del QR con otras billeteras y bancos.
CA4: El sistema debe notificar al comercio mediante push en el momento en que se reciba el abono.</t>
  </si>
  <si>
    <t>HU15</t>
  </si>
  <si>
    <t>Lectura y Confirmación de Pago QR</t>
  </si>
  <si>
    <t>Como cliente, quiero escanear un código QR para verificar la información del comercio y pagar en un solo toque.</t>
  </si>
  <si>
    <t>CA1: El sistema debe leer el código QR y mostrar el nombre y monto del comercio antes de confirmar el pago.
CA2: El sistema debe permitir completar el pago en un solo toque cuando el monto esté dentro del límite base.
CA3: El sistema debe solicitar validación biométrica adicional si el monto excede el límite base configurado.
CA4: El sistema debe rechazar el pago si el código QR está vencido o ha sido alterado.</t>
  </si>
  <si>
    <t>HU16</t>
  </si>
  <si>
    <t>Pago de Servicios y Recargas Express</t>
  </si>
  <si>
    <t>Como cliente, quiero pagar servicios básicos (luz, agua, internet) y recargar celulares desde la app para gestionar mis pagos en un solo lugar.</t>
  </si>
  <si>
    <t>CA1: El sistema debe permitir buscar un servicio (luz, agua, internet) por número de suministro.
CA2: El sistema debe permitir recargar celulares seleccionando operador y monto directamente desde la app.
CA3: El sistema debe enviar recordatorios de vencimiento de los servicios registrados por el cliente.
CA4: El sistema debe generar un comprobante estructurado por cada pago o recarga realizada.</t>
  </si>
  <si>
    <t>HU17</t>
  </si>
  <si>
    <t>Épica 5 – Motor Transaccional</t>
  </si>
  <si>
    <t>Motor Transaccional en Tiempo Real</t>
  </si>
  <si>
    <t>Sistema</t>
  </si>
  <si>
    <t>Como sistema core bancario, quiero procesar transacciones con control de saldos, bloqueo de fondos y prevención de doble gasto para asegurar la consistencia operativa.</t>
  </si>
  <si>
    <t>CA1: El sistema debe validar el saldo disponible antes de ejecutar cada transacción.
CA2: El sistema debe bloquear temporalmente los fondos comprometidos hasta la confirmación final de la operación.
CA3: El sistema debe garantizar que ninguna transacción se procese dos veces ante reintentos o fallas de red.
CA4: El sistema debe procesar cada transacción en un tiempo menor a 200 milisegundos bajo condiciones normales de carga.</t>
  </si>
  <si>
    <t>HU18</t>
  </si>
  <si>
    <t>Contabilidad en Libro Mayor (Ledger) de Partida Doble</t>
  </si>
  <si>
    <t>Como sistema contable, quiero registrar débitos y créditos con partida doble e identificador único universal (UUID) para mantener la integridad financiera.</t>
  </si>
  <si>
    <t>CA1: El sistema debe registrar cada operación con su respectivo débito y crédito en partida doble.
CA2: El sistema debe asignar un identificador único universal (UUID) a cada asiento contable generado.
CA3: El sistema debe garantizar que ningún asiento quede aplicado parcialmente si falla alguno de sus movimientos.
CA4: El sistema debe ejecutar un cierre contable automatizado diario verificando que el balance esté cuadrado.</t>
  </si>
  <si>
    <t>HU19</t>
  </si>
  <si>
    <t>Conciliación Bancaria y Redes de Pago</t>
  </si>
  <si>
    <t>Analista de operaciones</t>
  </si>
  <si>
    <t>Como analista de operaciones, quiero ejecutar conciliaciones automáticas entre el banco, las redes externas y la billetera para detectar inconsistencias de liquidación.</t>
  </si>
  <si>
    <t>CA1: El sistema debe procesar automáticamente los archivos de compensación (clearing) recibidos de las redes externas.
CA2: El sistema debe comparar las operaciones del banco contra las de las redes externas y la billetera para detectar diferencias.
CA3: El sistema debe generar un reporte de inconsistencias detectadas durante la conciliación.
CA4: El sistema debe habilitar un flujo de reclamos para las diferencias identificadas.</t>
  </si>
  <si>
    <t>HU20</t>
  </si>
  <si>
    <t>Épica 6 – Fraude y Cumplimiento</t>
  </si>
  <si>
    <t>Sprint 4</t>
  </si>
  <si>
    <t>Motor Antifraude por Reglas y Anomalías Biométricas</t>
  </si>
  <si>
    <t>Analista de fraude</t>
  </si>
  <si>
    <t>Como analista de fraude, quiero recibir alertas automáticas por intentos de suplantación facial, geolocalización atípica o transacciones inusuales para mitigar pérdidas.</t>
  </si>
  <si>
    <t>CA1: El sistema debe detectar y alertar intentos de suplantación facial (deepfake o spoofing) durante la autenticación.
CA2: El sistema debe identificar geolocalización atípica o transacciones inusuales según el patrón de comportamiento del cliente.
CA3: El sistema debe bloquear preventivamente una operación cuando se detecte una alerta de alto riesgo.
CA4: El sistema debe mostrar las alertas generadas en un tablero para el analista de fraude.</t>
  </si>
  <si>
    <t>HU21</t>
  </si>
  <si>
    <t>Cumplimiento PLDFT / AML y Listas Restrictivas</t>
  </si>
  <si>
    <t>Oficial de cumplimiento</t>
  </si>
  <si>
    <t>Como oficial de cumplimiento, quiero cotejar clientes y transacciones contra listas restrictivas (OFAC, World-Check, PEP) para cumplir leyes antilavado.</t>
  </si>
  <si>
    <t>CA1: El sistema debe cotejar a cada cliente contra listas restrictivas (OFAC, World-Check, PEP) durante el onboarding.
CA2: El sistema debe validar las transacciones en tiempo real contra las mismas listas restrictivas.
CA3: El sistema debe generar un reporte de operación sospechosa (ROS) cuando se detecte una coincidencia relevante.
CA4: El sistema debe registrar el resultado de cada validación para su posterior auditoría.</t>
  </si>
  <si>
    <t>HU22</t>
  </si>
  <si>
    <t>Notificaciones de Seguridad Multicanal</t>
  </si>
  <si>
    <t>Como cliente, quiero recibir alertas push y correos instantáneos por cada transacción o login biométrico para detectar cualquier actividad no autorizada.</t>
  </si>
  <si>
    <t>CA1: El sistema debe enviar una alerta push inmediata por cada transacción o inicio de sesión biométrico.
CA2: El sistema debe enviar un correo electrónico con el mismo detalle de la alerta como respaldo.
CA3: El sistema debe incluir en la alerta el dispositivo, hora y ubicación aproximada del evento.
CA4: El sistema debe permitir al cliente reportar una actividad como no reconocida directamente desde la notificación.</t>
  </si>
  <si>
    <t>HU23</t>
  </si>
  <si>
    <t>Bitácora de Auditoría Inalterable (Audit Log)</t>
  </si>
  <si>
    <t>Auditor</t>
  </si>
  <si>
    <t>Como auditor, quiero consultar registros inalterables y con marca de tiempo de todos los cambios administrativos y verificaciones faciales para respaldar auditorías.</t>
  </si>
  <si>
    <t>CA1: El sistema debe registrar todo cambio administrativo y verificación facial en un log de solo lectura (append-only).
CA2: El sistema debe aplicar un hash criptográfico a cada registro para garantizar su no repudio.
CA3: El sistema debe permitir al auditor consultar los registros filtrando por fecha, usuario o tipo de evento.
CA4: El sistema debe impedir la modificación o eliminación de cualquier registro ya almacenado.</t>
  </si>
  <si>
    <t>Could</t>
  </si>
  <si>
    <t>No</t>
  </si>
  <si>
    <t>HU24</t>
  </si>
  <si>
    <t>Épica 7 – Productos Avanzados</t>
  </si>
  <si>
    <t>Cuentas Multidivisa y Meta de Ahorro Automático</t>
  </si>
  <si>
    <t>Como cliente, quiero aperturar bolsillos de ahorro y cuentas en USD/EUR para organizar mis metas con reglas de redondeo automático.</t>
  </si>
  <si>
    <t>CA1: El sistema debe permitir aperturar bolsillos de ahorro y cuentas en USD/EUR desde la app.
CA2: El sistema debe permitir configurar reglas de redondeo automático hacia una meta de ahorro.
CA3: El sistema debe calcular y acreditar automáticamente los rendimientos generados por cada bolsillo.
CA4: El sistema debe permitir traspasos de fondos entre bolsillos y cuentas del mismo cliente.</t>
  </si>
  <si>
    <t>HU25</t>
  </si>
  <si>
    <t>Módulo de Cambio de Divisas Preferencial</t>
  </si>
  <si>
    <t>Como cliente, quiero comprar y vender divisas con tipo de cambio competitivo en tiempo real para optimizar mi dinero.</t>
  </si>
  <si>
    <t>CA1: El sistema debe mostrar una cotización de cambio en tiempo real congelada por 30 segundos antes de confirmar.
CA2: El sistema debe aplicar un spread dinámico según el volumen de la operación.
CA3: El sistema debe ejecutar la compra o venta de divisas de forma inmediata al confirmar la cotización vigente.
CA4: El sistema debe rechazar la operación si la cotización congelada expiró antes de la confirmación.</t>
  </si>
  <si>
    <t>HU26</t>
  </si>
  <si>
    <t>Distribución Automática de Ingresos y Nómina</t>
  </si>
  <si>
    <t>Como cliente, quiero programar la distribución automática de mi sueldo en porcentajes apenas ingrese mi pago para presupuestar sin esfuerzo.</t>
  </si>
  <si>
    <t>CA1: El sistema debe permitir programar reglas de distribución automática por porcentaje sobre los ingresos recibidos.
CA2: El sistema debe ejecutar la dispersión automática hacia facturas, ahorros e inversión al recibir un abono masivo.
CA3: El sistema debe validar que la suma de los porcentajes configurados no exceda el 100%.
CA4: El sistema debe notificar al cliente el detalle de cada distribución ejecutada.</t>
  </si>
  <si>
    <t>Product Backlog Priorizado</t>
  </si>
  <si>
    <t>Orden</t>
  </si>
  <si>
    <t>Prioridad</t>
  </si>
  <si>
    <t>Dependencia</t>
  </si>
  <si>
    <t>Ninguna</t>
  </si>
  <si>
    <t>HU01-HU02</t>
  </si>
  <si>
    <t>HU02-HU03</t>
  </si>
  <si>
    <t>HU02, HU06</t>
  </si>
  <si>
    <t>HU01, HU09</t>
  </si>
  <si>
    <t>HU05, HU11</t>
  </si>
  <si>
    <t>HU05, HU17-HU18</t>
  </si>
  <si>
    <t>HU14, HU17-HU18</t>
  </si>
  <si>
    <t>HU02, HU05</t>
  </si>
  <si>
    <t>HU03, HU20</t>
  </si>
  <si>
    <t>HU03, HU18, HU21</t>
  </si>
  <si>
    <t>Criterios de Aceptación — Sistema Bancario (Formato Gherkin: Dado / Cuando / Entonces)</t>
  </si>
  <si>
    <t>ID HU</t>
  </si>
  <si>
    <t>Área</t>
  </si>
  <si>
    <t>Requerimiento no funcional</t>
  </si>
  <si>
    <t>Criterio</t>
  </si>
  <si>
    <t>Dado</t>
  </si>
  <si>
    <t>Cuando</t>
  </si>
  <si>
    <t>Entonces</t>
  </si>
  <si>
    <t>Resultado esperado</t>
  </si>
  <si>
    <t>Seguridad / Rendimiento</t>
  </si>
  <si>
    <t>CA-01</t>
  </si>
  <si>
    <t>Dado que el cliente escanea su documento de identidad físico</t>
  </si>
  <si>
    <t>Cuando el sistema procesa la captura mediante OCR</t>
  </si>
  <si>
    <t>Entonces se extraen los datos personales con una precisión mínima del 95% y se valida su vigencia</t>
  </si>
  <si>
    <t>Captura OCR válida</t>
  </si>
  <si>
    <t>CA-02</t>
  </si>
  <si>
    <t>Dado que los datos del documento fueron reconocidos</t>
  </si>
  <si>
    <t>Cuando el cliente realiza el escaneo facial en vivo</t>
  </si>
  <si>
    <t>Entonces el sistema ejecuta la prueba de vida (liveness detection) descartando intentos con fotos, videos o máscaras</t>
  </si>
  <si>
    <t>Liveness verificado</t>
  </si>
  <si>
    <t>Integridad / Confiabilidad</t>
  </si>
  <si>
    <t>CA-03</t>
  </si>
  <si>
    <t>Dado que la prueba de vida es exitosa</t>
  </si>
  <si>
    <t>Cuando se contrasta el rostro con la foto del documento y la base oficial (RENIEC)</t>
  </si>
  <si>
    <t>Entonces se aprueba la coincidencia únicamente si el match supera el umbral de confianza configurado</t>
  </si>
  <si>
    <t>Match oficial confirmado</t>
  </si>
  <si>
    <t>Usabilidad / Trazabilidad</t>
  </si>
  <si>
    <t>CA-04</t>
  </si>
  <si>
    <t>Dado que la validación biométrica no supera el umbral requerido</t>
  </si>
  <si>
    <t>Cuando se detecta la inconsistencia de identidad</t>
  </si>
  <si>
    <t>Entonces el sistema informa el motivo, permite reintentos limitados y deriva el caso a revisión manual si persiste</t>
  </si>
  <si>
    <t>Manejo de excepción KYC</t>
  </si>
  <si>
    <t>Verificación y Activación</t>
  </si>
  <si>
    <t>Dado que el cliente completó exitosamente la validación KYC</t>
  </si>
  <si>
    <t>Cuando el sistema procesa el alta de la solicitud</t>
  </si>
  <si>
    <t>Entonces se envía un código OTP de un solo uso de forma inmediata al correo y número celular registrados</t>
  </si>
  <si>
    <t>OTP generado y enviado</t>
  </si>
  <si>
    <t>Dado que el cliente recibe el código OTP</t>
  </si>
  <si>
    <t>Cuando lo ingresa dentro de los 10 minutos de vigencia</t>
  </si>
  <si>
    <t>Entonces el sistema valida el código, activa la cuenta digital y actualiza su estado a activa</t>
  </si>
  <si>
    <t>Cuenta activada</t>
  </si>
  <si>
    <t>Disponibilidad / Seguridad</t>
  </si>
  <si>
    <t>Dado que el cliente no recibió el código o expiró</t>
  </si>
  <si>
    <t>Cuando solicita el reenvío del OTP</t>
  </si>
  <si>
    <t>Entonces el sistema permite hasta 3 solicitudes respetando un intervalo mínimo de espera entre envíos</t>
  </si>
  <si>
    <t>Reenvío de OTP controlado</t>
  </si>
  <si>
    <t>Usabilidad</t>
  </si>
  <si>
    <t>Dado que la cuenta ha sido activada con éxito</t>
  </si>
  <si>
    <t>Cuando finaliza la pantalla de activación</t>
  </si>
  <si>
    <t>Entonces el sistema confirma al cliente y lo habilita para iniciar sesión con sus credenciales biométricas</t>
  </si>
  <si>
    <t>Acceso inicial habilitado</t>
  </si>
  <si>
    <t>Seguridad y Autenticación</t>
  </si>
  <si>
    <t>Rendimiento</t>
  </si>
  <si>
    <t>Dado que el cliente tiene el reconocimiento biométrico activado</t>
  </si>
  <si>
    <t>Cuando abre la aplicación e inicia el escaneo facial</t>
  </si>
  <si>
    <t>Entonces el sistema valida la biometría y permite el acceso en menos de 1.5 segundos</t>
  </si>
  <si>
    <t>Acceso biométrico rápido</t>
  </si>
  <si>
    <t>Disponibilidad</t>
  </si>
  <si>
    <t>Dado que las condiciones de luz impiden el match facial</t>
  </si>
  <si>
    <t>Cuando el reconocimiento biométrico no reconoce el rostro</t>
  </si>
  <si>
    <t>Entonces el sistema habilita el método secundario solicitando huella digital o PIN de contingencia</t>
  </si>
  <si>
    <t>Contingencia MFA</t>
  </si>
  <si>
    <t>Dado que se registran 5 intentos fallidos consecutivos de autenticación</t>
  </si>
  <si>
    <t>Cuando se procesa el quinto intento fallido</t>
  </si>
  <si>
    <t>Entonces la cuenta se bloquea temporalmente y se envía una notificación de alerta al cliente</t>
  </si>
  <si>
    <t>Ataque mitigado</t>
  </si>
  <si>
    <t>Dado que la aplicación permanece en segundo plano o sin interacción</t>
  </si>
  <si>
    <t>Cuando transcurre el tiempo configurado de inactividad (ej. 3 min)</t>
  </si>
  <si>
    <t>Entonces el sistema finaliza la sesión activa y solicita autenticación para reingresar</t>
  </si>
  <si>
    <t>Sesión protegida</t>
  </si>
  <si>
    <t>Recuperación de Cuenta</t>
  </si>
  <si>
    <t>Dado que el usuario olvidó sus credenciales o tiene el acceso bloqueado</t>
  </si>
  <si>
    <t>Cuando selecciona 'Recuperar cuenta' desde la pantalla de login</t>
  </si>
  <si>
    <t>Entonces el sistema inicia el flujo solicitando únicamente su documento de identidad sin requerir clave previa</t>
  </si>
  <si>
    <t>Inicio autónomo</t>
  </si>
  <si>
    <t>Dado que el número de documento pertenece a un cliente activo</t>
  </si>
  <si>
    <t>Cuando el usuario efectúa el escaneo facial de prueba de vida</t>
  </si>
  <si>
    <t>Entonces el sistema re-valida el rostro contra el patrón biométrico original almacenado</t>
  </si>
  <si>
    <t>Re-validación biométrica</t>
  </si>
  <si>
    <t>Seguridad / Integridad</t>
  </si>
  <si>
    <t>Dado que la re-validación biométrica resulta exitosa</t>
  </si>
  <si>
    <t>Cuando el usuario define su nueva contraseña o PIN</t>
  </si>
  <si>
    <t>Entonces el sistema actualiza las credenciales de inmediato en el repositorio seguro</t>
  </si>
  <si>
    <t>Restablecimiento de clave</t>
  </si>
  <si>
    <t>Auditoría / Seguridad</t>
  </si>
  <si>
    <t>Dado que las credenciales han sido cambiadas</t>
  </si>
  <si>
    <t>Cuando concluye el proceso de restablecimiento</t>
  </si>
  <si>
    <t>Entonces el sistema notifica por push y correo detallando fecha, hora y dispositivo, revocando sesiones previas</t>
  </si>
  <si>
    <t>Notificación y revocación</t>
  </si>
  <si>
    <t>Cuentas y Saldos</t>
  </si>
  <si>
    <t>Dado que el cliente tiene cuentas asociadas</t>
  </si>
  <si>
    <t>Cuando ingresa al dashboard principal</t>
  </si>
  <si>
    <t>Entonces se muestran todas sus cuentas con tipo de producto, número enmascarado y moneda</t>
  </si>
  <si>
    <t>Vista consolidada</t>
  </si>
  <si>
    <t>Integridad de datos</t>
  </si>
  <si>
    <t>Dado que una cuenta posee transacciones retenidas</t>
  </si>
  <si>
    <t>Cuando el cliente consulta el detalle de la cuenta</t>
  </si>
  <si>
    <t>Entonces el sistema desglosa claramente el saldo contable respecto al saldo disponible neto</t>
  </si>
  <si>
    <t>Diferenciación de saldo</t>
  </si>
  <si>
    <t>Dado que una cuenta registra nuevos movimientos</t>
  </si>
  <si>
    <t>Cuando el cliente selecciona la cuenta</t>
  </si>
  <si>
    <t>Entonces el listado de movimientos históricos y recientes se actualiza y muestra en tiempo real</t>
  </si>
  <si>
    <t>Movimientos en tiempo real</t>
  </si>
  <si>
    <t>Portabilidad</t>
  </si>
  <si>
    <t>Dado que el usuario necesita sus transacciones para trámites</t>
  </si>
  <si>
    <t>Cuando presiona 'Exportar movimientos'</t>
  </si>
  <si>
    <t>Entonces el sistema genera y descarga un archivo estructurado en PDF o Excel con el reporte filtrado</t>
  </si>
  <si>
    <t>Reporte descargable</t>
  </si>
  <si>
    <t>Dado que ambas cuentas pertenecen al mismo cliente</t>
  </si>
  <si>
    <t>Cuando ingresa un monto válido y confirma la operación</t>
  </si>
  <si>
    <t>Entonces el débito y crédito se registran de forma inmediata y sin comisión entre cuentas propias</t>
  </si>
  <si>
    <t>Movimiento interno inmediato</t>
  </si>
  <si>
    <t>Integridad</t>
  </si>
  <si>
    <t>Dado que el destinatario es de otra entidad financiera</t>
  </si>
  <si>
    <t>Cuando ingresa el código CCI y consulta la cuenta</t>
  </si>
  <si>
    <t>Entonces el sistema valida la titularidad antes de debitar y permite la transferencia interbancaria</t>
  </si>
  <si>
    <t>Validación CCI</t>
  </si>
  <si>
    <t>Dado que el saldo disponible en la cuenta origen es menor al monto solicitado</t>
  </si>
  <si>
    <t>Cuando el cliente intenta confirmar la transferencia</t>
  </si>
  <si>
    <t>Entonces el sistema rechaza la operación sin modificar los saldos contables</t>
  </si>
  <si>
    <t>Saldo protegido</t>
  </si>
  <si>
    <t>Trazabilidad</t>
  </si>
  <si>
    <t>Dado que la transferencia se ejecuta con éxito</t>
  </si>
  <si>
    <t>Cuando culmina la transacción en el sistema</t>
  </si>
  <si>
    <t>Entonces se genera un comprobante descargable con fecha, hora, monto, cuentas y número de operación único</t>
  </si>
  <si>
    <t>Comprobante oficial</t>
  </si>
  <si>
    <t>Seguridad Transaccional</t>
  </si>
  <si>
    <t>Dado que el monto de una transferencia supera el umbral parametrizado de seguridad</t>
  </si>
  <si>
    <t>Cuando el cliente presiona continuar para transferir</t>
  </si>
  <si>
    <t>Entonces el sistema exige obligatoriamente un escaneo facial biométrico para autorizar el cargo</t>
  </si>
  <si>
    <t>Exigencia biométrica</t>
  </si>
  <si>
    <t>Dado que la validación facial está pendiente</t>
  </si>
  <si>
    <t>Cuando no se ha completado el match satisfactoriamente</t>
  </si>
  <si>
    <t>Entonces el sistema restringe el envío y mantiene retenida la transacción sin ejecutar el débito</t>
  </si>
  <si>
    <t>Bloqueo preventivo</t>
  </si>
  <si>
    <t>Regulatorio / Riesgos</t>
  </si>
  <si>
    <t>Dado que el cliente tiene un perfil de riesgo específico</t>
  </si>
  <si>
    <t>Cuando intenta realizar transacciones acumuladas en el día</t>
  </si>
  <si>
    <t>Entonces el sistema aplica los límites máximos diarios parametrizados para dicho perfil</t>
  </si>
  <si>
    <t>Límites aplicados</t>
  </si>
  <si>
    <t>Auditoría</t>
  </si>
  <si>
    <t>Dado que un intento de autorización biométrica resulta fallido o sospechoso</t>
  </si>
  <si>
    <t>Cuando el sistema detecta la anomalía</t>
  </si>
  <si>
    <t>Entonces registra el evento de seguridad en auditoría y envía una alerta de advertencia al cliente</t>
  </si>
  <si>
    <t>Alerta de fraude</t>
  </si>
  <si>
    <t>Beneficiarios</t>
  </si>
  <si>
    <t>Dado que una transferencia a un tercero concluyó exitosamente</t>
  </si>
  <si>
    <t>Cuando el cliente pulsa 'Guardar en frecuentes'</t>
  </si>
  <si>
    <t>Entonces el sistema almacena el contacto con alias personalizado, foto y datos bancarios asociados</t>
  </si>
  <si>
    <t>Beneficiario guardado</t>
  </si>
  <si>
    <t>Dado que el cliente tiene múltiples contactos guardados</t>
  </si>
  <si>
    <t>Cuando escribe en el buscador de la agenda</t>
  </si>
  <si>
    <t>Entonces el sistema filtra en tiempo real por alias o nombre para una selección rápida</t>
  </si>
  <si>
    <t>Búsqueda predictiva</t>
  </si>
  <si>
    <t>Dado que el cliente configura su agenda de contactos</t>
  </si>
  <si>
    <t>Cuando establece un límite de monto pre-aprobado para un beneficiario frecuente</t>
  </si>
  <si>
    <t>Entonces el sistema permite transferencias ágiles hasta ese tope sin solicitar factores de seguridad adicionales</t>
  </si>
  <si>
    <t>Tope pre-aprobado</t>
  </si>
  <si>
    <t>Mantenibilidad</t>
  </si>
  <si>
    <t>Dado que un beneficiario frecuente cambia de datos o ya no se requiere</t>
  </si>
  <si>
    <t>Cuando el cliente selecciona editar o eliminar el contacto</t>
  </si>
  <si>
    <t>Entonces el sistema actualiza o remueve el registro tras una confirmación de seguridad</t>
  </si>
  <si>
    <t>Gestión de agenda</t>
  </si>
  <si>
    <t>Créditos Digitales</t>
  </si>
  <si>
    <t>Precisión / Rendimiento</t>
  </si>
  <si>
    <t>Dado que el usuario accede al simulador de créditos</t>
  </si>
  <si>
    <t>Cuando ingresa el monto, plazo y tasa de interés TCEA</t>
  </si>
  <si>
    <t>Entonces el sistema calcula y muestra instantáneamente la cuota mensual estimada</t>
  </si>
  <si>
    <t>Cálculo de cuota</t>
  </si>
  <si>
    <t>Transparencia</t>
  </si>
  <si>
    <t>Dado que se calculó la cuota mensual</t>
  </si>
  <si>
    <t>Cuando el usuario despliega la tabla de pagos provisional</t>
  </si>
  <si>
    <t>Entonces el sistema detalla la amortización de capital, intereses devengados y fechas probables de pago</t>
  </si>
  <si>
    <t>Cronograma simulado</t>
  </si>
  <si>
    <t>Regulatorio</t>
  </si>
  <si>
    <t>Dado que el préstamo requiere cobertura de desgravamen</t>
  </si>
  <si>
    <t>Cuando el cliente activa o desactiva la opción de seguro</t>
  </si>
  <si>
    <t>Entonces el sistema recalcula la cuota incorporando la prima correspondiente de manera transparente</t>
  </si>
  <si>
    <t>Seguro desgravamen</t>
  </si>
  <si>
    <t>Dado que la simulación cumple con las expectativas del usuario</t>
  </si>
  <si>
    <t>Cuando presiona 'Descargar simulación'</t>
  </si>
  <si>
    <t>Entonces el sistema exporta un archivo PDF con las condiciones informativas sin carácter vinculante</t>
  </si>
  <si>
    <t>Cotización descargable</t>
  </si>
  <si>
    <t>Evaluación Crediticia</t>
  </si>
  <si>
    <t>Legal / Cumplimiento</t>
  </si>
  <si>
    <t>Dado que el cliente completa los datos de la solicitud crediticia</t>
  </si>
  <si>
    <t>Cuando acepta explícitamente el tratamiento de datos y consulta en centrales de riesgo</t>
  </si>
  <si>
    <t>Entonces el sistema crea un expediente formal con ID único y estado 'En evaluación'</t>
  </si>
  <si>
    <t>Solicitud registrada</t>
  </si>
  <si>
    <t>Dado que un campo obligatorio del formulario se encuentra vacío o con formato erróneo</t>
  </si>
  <si>
    <t>Cuando el usuario pulsa enviar solicitud</t>
  </si>
  <si>
    <t>Entonces el sistema indica claramente el error y no remite la evaluación al motor de crédito</t>
  </si>
  <si>
    <t>Validación de campos</t>
  </si>
  <si>
    <t>Dado que la solicitud cuenta con todos los requisitos completos</t>
  </si>
  <si>
    <t>Cuando el motor de riesgos y scoring interno procesa la consulta</t>
  </si>
  <si>
    <t>Entonces el sistema emite el dictamen de calificación en menos de 2 minutos</t>
  </si>
  <si>
    <t>Dictamen automatizado</t>
  </si>
  <si>
    <t>Dado que la evaluación ha sido resuelta</t>
  </si>
  <si>
    <t>Cuando concluye el análisis</t>
  </si>
  <si>
    <t>Entonces el sistema notifica al cliente con un estado claro (Aprobado, Rechazado o En Revisión) y guarda el dictamen</t>
  </si>
  <si>
    <t>Estado visible</t>
  </si>
  <si>
    <t>Legalización y Contratos</t>
  </si>
  <si>
    <t>Dado que el crédito fue aprobado favorablemente</t>
  </si>
  <si>
    <t>Cuando el cliente accede al paso de formalización</t>
  </si>
  <si>
    <t>Entonces el sistema presenta el contrato, pagaré digital y hoja resumen para su completa lectura</t>
  </si>
  <si>
    <t>Visualización contractual</t>
  </si>
  <si>
    <t>Seguridad / Legal</t>
  </si>
  <si>
    <t>Dado que el cliente revisó las condiciones del préstamo</t>
  </si>
  <si>
    <t>Cuando pulsa 'Firmar contrato'</t>
  </si>
  <si>
    <t>Entonces el sistema captura el rostro mediante biometría facial como mecanismo de consentimiento explícito</t>
  </si>
  <si>
    <t>Consentimiento biométrico</t>
  </si>
  <si>
    <t>Integridad / No repudio</t>
  </si>
  <si>
    <t>Dado que la identidad facial fue validada</t>
  </si>
  <si>
    <t>Cuando se firma el contrato electrónicamente</t>
  </si>
  <si>
    <t>Entonces se estampa un certificado digital sellado criptográficamente vinculando el token facial</t>
  </si>
  <si>
    <t>Firma digital certificada</t>
  </si>
  <si>
    <t>Cumplimiento</t>
  </si>
  <si>
    <t>Dado que el documento quedó formalmente legalizado</t>
  </si>
  <si>
    <t>Cuando finaliza la firma</t>
  </si>
  <si>
    <t>Entonces el sistema remite una copia certificada del contrato y pagaré al correo del cliente</t>
  </si>
  <si>
    <t>Copia legalizada remitida</t>
  </si>
  <si>
    <t>Desembolsos y Cobranzas</t>
  </si>
  <si>
    <t>Dado que el contrato crediticio se encuentra firmado</t>
  </si>
  <si>
    <t>Cuando se procesa la orden de abono</t>
  </si>
  <si>
    <t>Entonces el monto aprobado se acredita en tiempo real en la cuenta bancaria seleccionada por el cliente</t>
  </si>
  <si>
    <t>Desembolso inmediato</t>
  </si>
  <si>
    <t>Dado que los fondos fueron acreditados</t>
  </si>
  <si>
    <t>Cuando se confirma el desembolso</t>
  </si>
  <si>
    <t>Entonces el sistema genera el cronograma de cuotas definitivo indicando montos, fechas y capital amortizado</t>
  </si>
  <si>
    <t>Cronograma definitivo</t>
  </si>
  <si>
    <t>Dado que el cliente prefiere pagar automáticamente</t>
  </si>
  <si>
    <t>Cuando activa la opción de débito automático</t>
  </si>
  <si>
    <t>Entonces el sistema programa el cobro automático de la cuota en la fecha de vencimiento contra la cuenta designada</t>
  </si>
  <si>
    <t>Débito automático activo</t>
  </si>
  <si>
    <t>Notificaciones</t>
  </si>
  <si>
    <t>Dado que se acerca la fecha de pago de una cuota</t>
  </si>
  <si>
    <t>Cuando restan 3 días para el vencimiento</t>
  </si>
  <si>
    <t>Entonces el sistema envía una alerta push y correo recordando el monto exacto por cancelar</t>
  </si>
  <si>
    <t>Recordatorio de pago</t>
  </si>
  <si>
    <t>Billetera Digital</t>
  </si>
  <si>
    <t>Dado que el cliente tiene cuentas o tarjetas activas</t>
  </si>
  <si>
    <t>Cuando accede al módulo de billetera digital</t>
  </si>
  <si>
    <t>Entonces puede asociar su tarjeta de débito o cuenta preferida como fuente de fondos</t>
  </si>
  <si>
    <t>Vinculación de cuenta</t>
  </si>
  <si>
    <t>Dado que la cuenta está vinculada a la billetera</t>
  </si>
  <si>
    <t>Cuando el usuario paga en comercios presenciales autorizados</t>
  </si>
  <si>
    <t>Entonces se efectúa el pago express sin requerir digitar claves bancarias tradicionales</t>
  </si>
  <si>
    <t>Pago express sin clave</t>
  </si>
  <si>
    <t>Interoperabilidad</t>
  </si>
  <si>
    <t>Dado que el pago se dirige a redes de pago interbancarias de la industria</t>
  </si>
  <si>
    <t>Cuando se confirma la transacción</t>
  </si>
  <si>
    <t>Entonces el sistema liquida la operación de manera compatible y transparente con otras plataformas</t>
  </si>
  <si>
    <t>Interoperabilidad completa</t>
  </si>
  <si>
    <t>Dado que se realizan pagos rápidos continuos</t>
  </si>
  <si>
    <t>Cuando el monto acumulado del día alcanza el tope máximo express</t>
  </si>
  <si>
    <t>Entonces el sistema exige validación de seguridad reforzada antes de autorizar nuevos consumos</t>
  </si>
  <si>
    <t>Límite diario express</t>
  </si>
  <si>
    <t>Cobros QR</t>
  </si>
  <si>
    <t>Dado que un comercio requiere cobrar una venta</t>
  </si>
  <si>
    <t>Cuando ingresa el monto específico y el concepto</t>
  </si>
  <si>
    <t>Entonces el sistema genera un código QR dinámico de alta definición en la pantalla</t>
  </si>
  <si>
    <t>QR de cobro generado</t>
  </si>
  <si>
    <t>Dado que se ha generado un QR dinámico</t>
  </si>
  <si>
    <t>Cuando expira el tiempo configurado de vigencia (ej. 5 min)</t>
  </si>
  <si>
    <t>Entonces el código QR caduca automáticamente e impide cualquier intento de pago posterior</t>
  </si>
  <si>
    <t>Caducidad de QR</t>
  </si>
  <si>
    <t>Dado que el cliente comprador utiliza una billetera de otra entidad</t>
  </si>
  <si>
    <t>Cuando escanea el QR del comercio</t>
  </si>
  <si>
    <t>Entonces el sistema procesa el abono respetando el estándar interoperable nacional</t>
  </si>
  <si>
    <t>QR interoperable</t>
  </si>
  <si>
    <t>Rendimiento / Notificaciones</t>
  </si>
  <si>
    <t>Dado que el cliente confirma el pago del QR</t>
  </si>
  <si>
    <t>Cuando la red autoriza la transacción</t>
  </si>
  <si>
    <t>Entonces la aplicación del comercio emite una alerta visual y push confirmando el abono en el acto</t>
  </si>
  <si>
    <t>Notificación de abono</t>
  </si>
  <si>
    <t>Pagos QR</t>
  </si>
  <si>
    <t>Dado que el cliente abre el escáner QR de la app</t>
  </si>
  <si>
    <t>Cuando apunta la cámara a un código QR válido</t>
  </si>
  <si>
    <t>Entonces el lector decodifica y muestra el nombre del comercio y monto a pagar en menos de 1 segundo</t>
  </si>
  <si>
    <t>Lectura QR inmediata</t>
  </si>
  <si>
    <t>Dado que el monto se ubica dentro del límite base</t>
  </si>
  <si>
    <t>Cuando el usuario revisa los datos y presiona pagar</t>
  </si>
  <si>
    <t>Entonces la operación se procesa en un solo toque debitando de la cuenta seleccionada</t>
  </si>
  <si>
    <t>Pago en un toque</t>
  </si>
  <si>
    <t>Dado que el monto por pagar excede el límite de pago rápido</t>
  </si>
  <si>
    <t>Cuando el usuario intenta autorizar la operación</t>
  </si>
  <si>
    <t>Entonces el sistema solicita obligatoriamente validación biométrica facial o huella</t>
  </si>
  <si>
    <t>Autorización biométrica QR</t>
  </si>
  <si>
    <t>Dado que el código QR leído se encuentra vencido, corrupto o manipulado</t>
  </si>
  <si>
    <t>Cuando el sistema valida la firma del QR</t>
  </si>
  <si>
    <t>Entonces rechaza inmediatamente el cobro sin descontar fondos y alerta al usuario</t>
  </si>
  <si>
    <t>QR protegido y auditado</t>
  </si>
  <si>
    <t>Servicios y Recargas</t>
  </si>
  <si>
    <t>Dado que el usuario accede al módulo de servicios</t>
  </si>
  <si>
    <t>Cuando ingresa el nombre de la empresa prestadora o servicio</t>
  </si>
  <si>
    <t>Entonces el sistema localiza la empresa y muestra los suministros guardados o formulario de consulta</t>
  </si>
  <si>
    <t>Búsqueda de servicio</t>
  </si>
  <si>
    <t>Dado que el usuario desea recargar saldo a un número telefónico</t>
  </si>
  <si>
    <t>Cuando elige el operador, número y monto</t>
  </si>
  <si>
    <t>Entonces el sistema ejecuta la recarga móvil en tiempo real y notifica el abono</t>
  </si>
  <si>
    <t>Recarga telefónica</t>
  </si>
  <si>
    <t>Dado que el cliente tiene servicios frecuentes agregados</t>
  </si>
  <si>
    <t>Cuando se aproxima la fecha de corte o vencimiento de la factura</t>
  </si>
  <si>
    <t>Entonces el sistema envía recordatorios automáticos indicando monto exigible</t>
  </si>
  <si>
    <t>Recordatorio de vencimiento</t>
  </si>
  <si>
    <t>Dado que el pago del recibo fue completado</t>
  </si>
  <si>
    <t>Cuando concluye el proceso</t>
  </si>
  <si>
    <t>Entonces el sistema emite un comprobante estructurado con el número de transacción oficial de la empresa</t>
  </si>
  <si>
    <t>Comprobante estructurado</t>
  </si>
  <si>
    <t>Core Transaccional</t>
  </si>
  <si>
    <t>Integridad / Consistencia</t>
  </si>
  <si>
    <t>Dado que una transacción es enviada al core bancario</t>
  </si>
  <si>
    <t>Cuando el motor inicia la verificación previa</t>
  </si>
  <si>
    <t>Entonces se valida el saldo disponible en tiempo real impidiendo operaciones en descubierto</t>
  </si>
  <si>
    <t>Control de saldo estricto</t>
  </si>
  <si>
    <t>Concurrencia / ACID</t>
  </si>
  <si>
    <t>Dado que se procesa una orden de pago</t>
  </si>
  <si>
    <t>Cuando la transacción entra en fase de compensación</t>
  </si>
  <si>
    <t>Entonces los fondos son bloqueados temporalmente para evitar sobregiros simultáneos</t>
  </si>
  <si>
    <t>Bloqueo preventivo de fondos</t>
  </si>
  <si>
    <t>Idempotencia</t>
  </si>
  <si>
    <t>Dado que llega una solicitud duplicada por reintento de red</t>
  </si>
  <si>
    <t>Cuando se detecta un identificador de transacción idéntico ya procesado</t>
  </si>
  <si>
    <t>Entonces el sistema devuelve el resultado original sin cobrar dos veces</t>
  </si>
  <si>
    <t>Prevención de doble gasto</t>
  </si>
  <si>
    <t>Dado que el core opera bajo condiciones estándar de demanda</t>
  </si>
  <si>
    <t>Cuando procesa el ciclo transaccional</t>
  </si>
  <si>
    <t>Entonces el tiempo de respuesta total no excede los 200 milisegundos cumpliendo el SLA</t>
  </si>
  <si>
    <t>SLA transaccional &lt; 200ms</t>
  </si>
  <si>
    <t>Contabilidad Core</t>
  </si>
  <si>
    <t>Integridad contable</t>
  </si>
  <si>
    <t>Dado que una transacción financiera fue autorizada</t>
  </si>
  <si>
    <t>Cuando se registra en el libro mayor</t>
  </si>
  <si>
    <t>Entonces el débito y el crédito se asientan atómicamente respetando la partida doble</t>
  </si>
  <si>
    <t>Partida doble balanceada</t>
  </si>
  <si>
    <t>Trazabilidad / No repudio</t>
  </si>
  <si>
    <t>Dado que se genera un nuevo asiento contable</t>
  </si>
  <si>
    <t>Cuando se confirma en la base de datos</t>
  </si>
  <si>
    <t>Entonces el sistema le asigna un identificador universal único (UUID) inalterable</t>
  </si>
  <si>
    <t>UUID contable asignado</t>
  </si>
  <si>
    <t>Dado que ocurre un error o caída técnica durante el registro de uno de los asientos</t>
  </si>
  <si>
    <t>Cuando el sistema detecta la falla parcial</t>
  </si>
  <si>
    <t>Entonces ejecuta un rollback automático y ningún asiento queda aplicado de forma parcial</t>
  </si>
  <si>
    <t>Atomicidad contable</t>
  </si>
  <si>
    <t>Conformidad financiera</t>
  </si>
  <si>
    <t>Dado que concluye la jornada operativa diaria</t>
  </si>
  <si>
    <t>Cuando se dispara el proceso de cierre contable nocturno</t>
  </si>
  <si>
    <t>Entonces el sistema verifica que la sumatoria de débitos y créditos sea idéntica emitiendo el balance diario</t>
  </si>
  <si>
    <t>Cierre contable cuadrado</t>
  </si>
  <si>
    <t>Operaciones y Compensación</t>
  </si>
  <si>
    <t>Dado que se reciben archivos de compensación (clearing) de las redes externas</t>
  </si>
  <si>
    <t>Cuando el sistema procesa el lote al cierre</t>
  </si>
  <si>
    <t>Entonces extrae y valida la totalidad de los registros de compensación automáticamente</t>
  </si>
  <si>
    <t>Clearing procesado</t>
  </si>
  <si>
    <t>Confiabilidad</t>
  </si>
  <si>
    <t>Dado que existen registros bancarios internos y de las redes de pago</t>
  </si>
  <si>
    <t>Cuando se ejecuta la conciliación automática</t>
  </si>
  <si>
    <t>Entonces el sistema contrasta los montos y detecta cualquier descuadre o transacción huérfana</t>
  </si>
  <si>
    <t>Cruce y conciliación</t>
  </si>
  <si>
    <t>Dado que se hallaron inconsistencias en la liquidación</t>
  </si>
  <si>
    <t>Cuando culmina la conciliación</t>
  </si>
  <si>
    <t>Entonces el sistema emite un reporte pormenorizado de discrepancias para el analista de operaciones</t>
  </si>
  <si>
    <t>Reporte de diferencias</t>
  </si>
  <si>
    <t>Dado que una discrepancia requiere ajuste formal</t>
  </si>
  <si>
    <t>Cuando el analista revisa el reporte</t>
  </si>
  <si>
    <t>Entonces el sistema provee un flujo de reclamos y resolución para regularizar los saldos</t>
  </si>
  <si>
    <t>Flujo de reclamos operativo</t>
  </si>
  <si>
    <t>Prevención de Fraude</t>
  </si>
  <si>
    <t>Dado que se realiza un intento de login con patrones faciales sintéticos</t>
  </si>
  <si>
    <t>Cuando el motor antifraude analiza la muestra</t>
  </si>
  <si>
    <t>Entonces detecta ataques de inyección, deepfakes o spoofing emitiendo una alerta crítica</t>
  </si>
  <si>
    <t>Detección de spoofing facial</t>
  </si>
  <si>
    <t>Seguridad / IA</t>
  </si>
  <si>
    <t>Dado que se efectúa una transacción con geolocalización o monto atípico</t>
  </si>
  <si>
    <t>Cuando el motor coteja el comportamiento habitual del cliente</t>
  </si>
  <si>
    <t>Entonces clasifica el evento como transacción de alto riesgo</t>
  </si>
  <si>
    <t>Anomalía de comportamiento</t>
  </si>
  <si>
    <t>Dado que una transacción es calificada con puntaje de riesgo crítico</t>
  </si>
  <si>
    <t>Cuando se intenta cursar la operación</t>
  </si>
  <si>
    <t>Entonces el sistema aplica un bloqueo preventivo antes de liberar los fondos</t>
  </si>
  <si>
    <t>Bloqueo preventivo de fraude</t>
  </si>
  <si>
    <t>Usabilidad / Monitoreo</t>
  </si>
  <si>
    <t>Dado que se suscitan alertas de riesgo en tiempo real</t>
  </si>
  <si>
    <t>Cuando el analista de fraude consulta el sistema</t>
  </si>
  <si>
    <t>Entonces las alertas se consolidan en un tablero interactivo para gestión y desbloqueo</t>
  </si>
  <si>
    <t>Tablero de monitoreo antifraude</t>
  </si>
  <si>
    <t>Cumplimiento y PLAFT</t>
  </si>
  <si>
    <t>Dado que una persona inicia el proceso de onboarding</t>
  </si>
  <si>
    <t>Cuando el sistema registra sus datos de identidad</t>
  </si>
  <si>
    <t>Entonces coteja automáticamente contra listas vinculantes (OFAC, World-Check, PEP) en tiempo real</t>
  </si>
  <si>
    <t>Matching en onboarding</t>
  </si>
  <si>
    <t>Dado que se intenta ejecutar una transacción bancaria</t>
  </si>
  <si>
    <t>Cuando los datos del emisor o receptor entran al motor de filtrado</t>
  </si>
  <si>
    <t>Entonces se valida que ninguna de las partes figure en listas de sanciones internacionales</t>
  </si>
  <si>
    <t>Filtrado transaccional</t>
  </si>
  <si>
    <t>Legal / Compliance</t>
  </si>
  <si>
    <t>Dado que se detecta coincidencia confirmada con una lista restrictiva</t>
  </si>
  <si>
    <t>Cuando salta la alerta de coincidencia</t>
  </si>
  <si>
    <t>Entonces el sistema genera automáticamente un Reporte de Operación Sospechosa (ROS) para el oficial de cumplimiento</t>
  </si>
  <si>
    <t>Generación de ROS</t>
  </si>
  <si>
    <t>Dado que se ejecutaron análisis de cumplimiento</t>
  </si>
  <si>
    <t>Cuando concluye cada validación</t>
  </si>
  <si>
    <t>Entonces el sistema archiva una bitácora inalterable con la fecha, resultado y lista consultada para fines regulatorios</t>
  </si>
  <si>
    <t>Auditoría PLAFT</t>
  </si>
  <si>
    <t>Alertas y Notificaciones</t>
  </si>
  <si>
    <t>Dado que se procesa cualquier movimiento o acceso a la cuenta</t>
  </si>
  <si>
    <t>Cuando se confirma la transacción en el servidor</t>
  </si>
  <si>
    <t>Entonces se dispara una notificación push de forma inmediata al dispositivo móvil del cliente</t>
  </si>
  <si>
    <t>Push de seguridad instantáneo</t>
  </si>
  <si>
    <t>Dado que se efectuó un evento de seguridad o cargo financiero</t>
  </si>
  <si>
    <t>Cuando se envía la notificación push</t>
  </si>
  <si>
    <t>Entonces el sistema remite en paralelo un correo electrónico con los datos de respaldo de la operación</t>
  </si>
  <si>
    <t>Alerta por correo electrónico</t>
  </si>
  <si>
    <t>Transparencia / Seguridad</t>
  </si>
  <si>
    <t>Dado que se envía una alerta al cliente</t>
  </si>
  <si>
    <t>Cuando el usuario revisa el contenido</t>
  </si>
  <si>
    <t>Entonces se indica el dispositivo utilizado, hora exacta, monto y ubicación aproximada</t>
  </si>
  <si>
    <t>Detalle de seguridad</t>
  </si>
  <si>
    <t>Dado que el cliente recibe una notificación de un movimiento que no efectuó</t>
  </si>
  <si>
    <t>Cuando pulsa el botón 'No reconozco esta operación' en la alerta</t>
  </si>
  <si>
    <t>Entonces el sistema bloquea inmediatamente los canales digitales y contacta a soporte de seguridad</t>
  </si>
  <si>
    <t>Reporte inmediato de fraude</t>
  </si>
  <si>
    <t>Auditoría del Sistema</t>
  </si>
  <si>
    <t>Dado que un administrador o usuario realiza un cambio sensible o verificación biométrica</t>
  </si>
  <si>
    <t>Cuando la acción es procesada</t>
  </si>
  <si>
    <t>Entonces se registra en una bitácora de auditoría estructurada de solo lectura (append-only)</t>
  </si>
  <si>
    <t>Log append-only</t>
  </si>
  <si>
    <t>No repudio</t>
  </si>
  <si>
    <t>Dado que se crea un registro de evento en la bitácora</t>
  </si>
  <si>
    <t>Cuando se guarda en el log</t>
  </si>
  <si>
    <t>Entonces se genera un hash criptográfico enlazado que garantiza la inmutabilidad y autenticidad del registro</t>
  </si>
  <si>
    <t>Sellado criptográfico de log</t>
  </si>
  <si>
    <t>Dado que el auditor requiere examinar eventos históricos</t>
  </si>
  <si>
    <t>Cuando filtra por rango de fechas, usuario o tipo de transacción</t>
  </si>
  <si>
    <t>Entonces el sistema despliega las trazas detalladas con sus sellos de tiempo verificables</t>
  </si>
  <si>
    <t>Consulta de auditoría filtrada</t>
  </si>
  <si>
    <t>Seguridad estricta</t>
  </si>
  <si>
    <t>Dado que los registros fueron almacenados en la base de auditoría</t>
  </si>
  <si>
    <t>Cuando cualquier usuario (incluso con permisos de superadministrador) intenta modificarlos o eliminarlos</t>
  </si>
  <si>
    <t>Entonces el sistema deniega la acción y emite una alerta crítica de intento de manipulación</t>
  </si>
  <si>
    <t>Inmutabilidad garantizada</t>
  </si>
  <si>
    <t>Ahorro y Multidivisa</t>
  </si>
  <si>
    <t>Dado que el cliente posee una cuenta en moneda nacional</t>
  </si>
  <si>
    <t>Cuando solicita crear un bolsillo de ahorro o cuenta en USD/EUR desde la app</t>
  </si>
  <si>
    <t>Entonces el sistema habilita el producto en moneda extranjera de manera digital e inmediata</t>
  </si>
  <si>
    <t>Apertura multidivisa</t>
  </si>
  <si>
    <t>Usabilidad / Funcional</t>
  </si>
  <si>
    <t>Dado que el cliente establece una meta de ahorro</t>
  </si>
  <si>
    <t>Cuando efectúa consumos con su tarjeta</t>
  </si>
  <si>
    <t>Entonces el sistema redondea los pagos al sol superior y transfiere el excedente automáticamente al bolsillo de ahorro</t>
  </si>
  <si>
    <t>Redondeo automático</t>
  </si>
  <si>
    <t>Dado que el dinero permanece en el bolsillo de ahorro remunerado</t>
  </si>
  <si>
    <t>Cuando se cumple el periodo de cálculo de intereses</t>
  </si>
  <si>
    <t>Entonces el sistema computa y abona los rendimientos generados según la tasa pactada</t>
  </si>
  <si>
    <t>Abono de rendimientos</t>
  </si>
  <si>
    <t>Dado que el cliente necesita disponer de sus fondos de ahorro</t>
  </si>
  <si>
    <t>Cuando transfiere dinero desde el bolsillo hacia su cuenta principal</t>
  </si>
  <si>
    <t>Entonces el traslado se aplica inmediatamente sin penalidad ni comisiones</t>
  </si>
  <si>
    <t>Traspaso libre entre bolsillos</t>
  </si>
  <si>
    <t>Cambio de Divisas</t>
  </si>
  <si>
    <t>Dado que el usuario desea comprar o vender moneda extranjera</t>
  </si>
  <si>
    <t>Cuando solicita una cotización en pantalla</t>
  </si>
  <si>
    <t>Entonces el sistema fija y congela el tipo de cambio preferencial garantizado durante 30 segundos</t>
  </si>
  <si>
    <t>Tipo de cambio congelado</t>
  </si>
  <si>
    <t>Financiero</t>
  </si>
  <si>
    <t>Dado que la operación involucra montos de divisa elevados</t>
  </si>
  <si>
    <t>Cuando el sistema calcula el precio de compra o venta</t>
  </si>
  <si>
    <t>Entonces aplica un spread dinámico más competitivo proporcional al volumen transaccionado</t>
  </si>
  <si>
    <t>Spread dinámico por volumen</t>
  </si>
  <si>
    <t>Dado que el tipo de cambio se encuentra vigente en el temporizador</t>
  </si>
  <si>
    <t>Cuando el cliente confirma la operación</t>
  </si>
  <si>
    <t>Entonces se realiza el débito en la divisa de origen y el abono inmediato en la divisa receptora</t>
  </si>
  <si>
    <t>Ejecución de cambio instantánea</t>
  </si>
  <si>
    <t>Dado que expiran los 30 segundos de la cotización congelada</t>
  </si>
  <si>
    <t>Cuando el cliente pulsa confirmar después del vencimiento</t>
  </si>
  <si>
    <t>Entonces el sistema cancela la operación y actualiza la tasa con la nueva cotización de mercado</t>
  </si>
  <si>
    <t>Control de cotización expirada</t>
  </si>
  <si>
    <t>Gestión Financiera Personal</t>
  </si>
  <si>
    <t>Dado que el cliente percibe abonos periódicos o sueldo</t>
  </si>
  <si>
    <t>Cuando accede a configuración de presupuesto</t>
  </si>
  <si>
    <t>Entonces puede programar reglas de dispersión fijando porcentajes específicos para diferentes propósitos</t>
  </si>
  <si>
    <t>Reglas de dispersión porcentual</t>
  </si>
  <si>
    <t>Automatización</t>
  </si>
  <si>
    <t>Dado que ingresa un depósito clasificado como abono masivo o sueldo</t>
  </si>
  <si>
    <t>Cuando se asienta el pago en la cuenta principal</t>
  </si>
  <si>
    <t>Entonces el sistema dispersa los fondos de forma autónoma hacia pago de facturas, ahorros e inversiones</t>
  </si>
  <si>
    <t>Distribución automática ejecutada</t>
  </si>
  <si>
    <t>Dado que el usuario configura o modifica los porcentajes asignados</t>
  </si>
  <si>
    <t>Cuando intenta guardar la regla</t>
  </si>
  <si>
    <t>Entonces el sistema valida estrictamente que la sumatoria total no exceda ni sea inferior al 100%</t>
  </si>
  <si>
    <t>Validación de suma 100%</t>
  </si>
  <si>
    <t>Dado que se ejecutó una dispersión automática de fondos</t>
  </si>
  <si>
    <t>Cuando culminan los traslados</t>
  </si>
  <si>
    <t>Entonces el sistema emite un reporte detallado con los montos exactos asignados a cada categoría</t>
  </si>
  <si>
    <t>Reporte de dispersión de nómina</t>
  </si>
  <si>
    <t>Requerimientos Funcionales y No Funcionales por Historia de Usuario</t>
  </si>
  <si>
    <t>Requerimientos Funcionales (RF)</t>
  </si>
  <si>
    <t>Requerimientos No Funcionales (RNF)</t>
  </si>
  <si>
    <t>RF1: Capturar el documento de identidad (DNI/CE) mediante cámara y extraer los datos por OCR.
RF2: Ejecutar prueba de vida (liveness detection) y comparar el rostro contra el documento y la base RENIEC.
RF3: Crear automáticamente el usuario y la cuenta digital tras la validación exitosa del KYC.</t>
  </si>
  <si>
    <t>RNF1: Precisión de OCR ≥95% y de match facial ≥98% para minimizar falsos positivos/negativos.
RNF2: El proceso completo de KYC no debe superar 60 segundos en condiciones normales de red.
RNF3: Los datos biométricos y documentales deben cifrarse en tránsito y en reposo (TLS 1.2+/AES-256).</t>
  </si>
  <si>
    <t>HU27</t>
  </si>
  <si>
    <t>RF1: Enviar un código OTP al correo o celular registrado al completar el KYC.
RF2: Validar el OTP ingresado y activar la cuenta si es correcto y vigente.
RF3: Permitir el reenvío del OTP con límite de intentos y tiempo de espera entre solicitudes.</t>
  </si>
  <si>
    <t>RNF1: El OTP debe expirar en un máximo de 10 minutos desde su generación.
RNF2: El envío del OTP debe tener un SLA de entrega menor a 5 segundos.
RNF3: El código debe ser de un solo uso y no reutilizable tras su validación o expiración.</t>
  </si>
  <si>
    <t>RF1: Permitir el inicio de sesión mediante reconocimiento facial como método principal.
RF2: Ofrecer huella digital o PIN como método alternativo.
RF3: Bloquear temporalmente la cuenta tras intentos fallidos consecutivos y cerrar sesión por inactividad.</t>
  </si>
  <si>
    <t>RNF1: La validación biométrica debe completarse en menos de 1.5 segundos.
RNF2: El módulo de autenticación debe tener una disponibilidad mínima del 99.9%.
RNF3: Los bloqueos por intentos fallidos deben registrarse sin exponer información sensible del cliente.</t>
  </si>
  <si>
    <t>RF1: Permitir solicitar la recuperación de acceso desde el login sin contraseña previa.
RF2: Re-validar el rostro del cliente contra el patrón biométrico almacenado.
RF3: Permitir el restablecimiento de credenciales solo tras una validación facial exitosa.</t>
  </si>
  <si>
    <t>RNF1: El umbral de coincidencia facial para recuperación debe ser más estricto que el del login habitual.
RNF2: El cambio de credenciales debe notificarse por un canal distinto en menos de 1 minuto.
RNF3: Todo intento de recuperación debe quedar auditado con fecha, dispositivo y resultado.</t>
  </si>
  <si>
    <t>RF1: Mostrar todas las cuentas del cliente con tipo, número enmascarado y saldo disponible.
RF2: Desglosar saldo contable, saldo disponible y fondos retenidos por cuenta.
RF3: Permitir exportar el detalle de movimientos en PDF o Excel.</t>
  </si>
  <si>
    <t>RNF1: La consulta de saldos y movimientos debe responder en menos de 2 segundos.
RNF2: El sistema debe soportar consultas concurrentes de miles de clientes sin degradar el tiempo de respuesta.
RNF3: El número de cuenta debe mostrarse siempre enmascarado en pantalla.</t>
  </si>
  <si>
    <t>RF1: Transferir fondos entre cuentas propias de forma inmediata y sin costo.
RF2: Realizar transferencias interbancarias mediante CCI/CCE validando al titular antes de confirmar.
RF3: Generar comprobante descargable con número de operación.</t>
  </si>
  <si>
    <t>RNF1: Las transferencias interbancarias deben ejecutarse en menos de 10 segundos.
RNF2: El sistema debe garantizar idempotencia para evitar cobros duplicados ante reintentos de red.
RNF3: Toda transferencia debe quedar trazada con fecha, hora y usuario para auditoría.</t>
  </si>
  <si>
    <t>RF1: Solicitar validación facial adicional cuando el monto supere el umbral de seguridad.
RF2: Restringir el envío de la transacción hasta validar la biometría.
RF3: Registrar y notificar los intentos fallidos de autorización como evento de seguridad.</t>
  </si>
  <si>
    <t>RNF1: La validación biométrica adicional no debe añadir más de 3 segundos al flujo de pago.
RNF2: Los eventos de autorización fallida deben generar alerta en tiempo real al módulo antifraude.
RNF3: El umbral de monto para exigir biometría debe ser configurable sin requerir despliegue de código.</t>
  </si>
  <si>
    <t>RF1: Registrar un beneficiario con alias, foto y datos de cuenta tras una transferencia exitosa.
RF2: Buscar y agrupar beneficiarios guardados por alias o nombre.
RF3: Editar o eliminar un beneficiario guardado.</t>
  </si>
  <si>
    <t>RNF1: La búsqueda de beneficiarios debe responder en menos de 1 segundo con hasta 100 registros.
RNF2: Los datos de los beneficiarios deben almacenarse cifrados en la base de datos.
RNF3: El límite pre-aprobado por beneficiario solo debe ser editable por el titular autenticado.</t>
  </si>
  <si>
    <t>RF1: Calcular la cuota estimada según monto, plazo y tasa TCEA ingresados.
RF2: Generar un cronograma de pagos provisional con capital e intereses.
RF3: Permitir incluir opcionalmente un seguro de desgravamen en la simulación.</t>
  </si>
  <si>
    <t>RNF1: El cálculo de la simulación debe entregarse en menos de 1 segundo.
RNF2: Las tasas y fórmulas usadas deben ser configurables por el área de productos sin cambios de código.
RNF3: El simulador no debe generar ningún registro crediticio real sobre el cliente.</t>
  </si>
  <si>
    <t>RF1: Enviar la solicitud de préstamo solo si el cliente autoriza la consulta en centrales de riesgo.
RF2: Validar que la solicitud tenga todos los datos obligatorios antes de evaluarla.
RF3: Consultar el motor de riesgos y el score interno para generar una pre-calificación.</t>
  </si>
  <si>
    <t>RNF1: La pre-calificación debe entregarse en un máximo de 5 minutos.
RNF2: La integración con centrales de riesgo debe reintentar automáticamente ante caídas del servicio externo.
RNF3: El resultado y su justificación deben quedar almacenados para fines regulatorios.</t>
  </si>
  <si>
    <t>RF1: Generar el contrato de préstamo con las condiciones aprobadas antes de la firma.
RF2: Validar el rostro del cliente como mecanismo de consentimiento explícito.
RF3: Enviar el pagaré y contrato sellado al correo del cliente tras la firma.</t>
  </si>
  <si>
    <t>RNF1: La firma digital debe cumplir estándares de firma electrónica reconocidos (no repudio).
RNF2: El documento firmado debe estar disponible para el cliente en menos de 1 minuto.
RNF3: El token facial asociado a la firma debe almacenarse cifrado y no reutilizarse en otra transacción.</t>
  </si>
  <si>
    <t>RF1: Acreditar el monto aprobado en la cuenta elegida por el cliente.
RF2: Generar el cronograma definitivo de cuotas.
RF3: Habilitar el débito automático de las cuotas desde la cuenta elegida.</t>
  </si>
  <si>
    <t>RNF1: El desembolso debe acreditarse en menos de 30 segundos tras la firma del contrato.
RNF2: El sistema debe notificar cada cuota próxima a vencer con al menos 2 días de anticipación.
RNF3: El proceso de desembolso debe ser transaccional (todo o nada) para evitar acreditaciones parciales.</t>
  </si>
  <si>
    <t>RF1: Vincular una tarjeta o cuenta del cliente a la billetera digital.
RF2: Procesar pagos en comercios sin requerir el ingreso de claves adicionales.
RF3: Aplicar límites diarios configurables a las operaciones express.</t>
  </si>
  <si>
    <t>RNF1: El sistema debe ser interoperable con las redes de pago vigentes de la industria.
RNF2: El pago con billetera debe completarse en menos de 3 segundos.
RNF3: Los datos de la tarjeta/cuenta vinculada deben tokenizarse, sin almacenar el número completo.</t>
  </si>
  <si>
    <t>RF1: Generar un código QR con monto y concepto específico para cada cobro.
RF2: Permitir configurar la caducidad del código QR generado.
RF3: Notificar al comercio mediante push al recibir el abono.</t>
  </si>
  <si>
    <t>RNF1: El QR debe ser interoperable con otras billeteras y bancos (estándar QR interoperable).
RNF2: La generación del QR debe completarse en menos de 1 segundo.
RNF3: La notificación de abono debe entregarse en menos de 5 segundos desde la confirmación del pago.</t>
  </si>
  <si>
    <t>RF1: Leer el código QR y mostrar el nombre y monto del comercio antes de confirmar el pago.
RF2: Permitir completar el pago en un solo toque dentro del límite base.
RF3: Rechazar el pago si el QR está vencido o alterado.</t>
  </si>
  <si>
    <t>RNF1: La lectura y validación del QR debe completarse en menos de 2 segundos.
RNF2: El sistema debe validar la integridad del QR (firma/hash) para prevenir manipulación.
RNF3: La validación biométrica adicional no debe añadir más de 3 segundos al flujo.</t>
  </si>
  <si>
    <t>RF1: Buscar un servicio (luz, agua, internet) por número de suministro.
RF2: Recargar celulares seleccionando operador y monto desde la app.
RF3: Generar comprobante estructurado por cada pago o recarga.</t>
  </si>
  <si>
    <t>RNF1: La consulta del servicio debe responder en menos de 2 segundos.
RNF2: El sistema debe integrar múltiples empresas de servicios y operadores sin cambios estructurales.
RNF3: Los recordatorios de vencimiento deben enviarse con al menos 3 días de anticipación.</t>
  </si>
  <si>
    <t>RF1: Validar el saldo disponible antes de ejecutar cada transacción.
RF2: Bloquear temporalmente los fondos comprometidos hasta la confirmación final.
RF3: Prevenir el doble procesamiento ante reintentos o fallas de red.</t>
  </si>
  <si>
    <t>RNF1: Cada transacción debe procesarse en menos de 200 milisegundos bajo carga normal.
RNF2: El motor transaccional debe garantizar propiedades ACID en todas las operaciones.
RNF3: El sistema debe soportar picos de carga (ej. fin de mes) sin degradar el SLA de procesamiento.</t>
  </si>
  <si>
    <t>RF1: Registrar cada operación con su respectivo débito y crédito en partida doble.
RF2: Asignar un identificador único universal (UUID) a cada asiento contable.
RF3: Ejecutar un cierre contable automatizado diario verificando que el balance esté cuadrado.</t>
  </si>
  <si>
    <t>RNF1: Ningún asiento debe quedar aplicado parcialmente ante una falla (atomicidad).
RNF2: El cierre contable diario debe ejecutarse en una ventana definida sin afectar la operación diurna.
RNF3: Los registros contables deben ser auditables y trazables por el periodo mínimo exigido por la regulación.</t>
  </si>
  <si>
    <t>RF1: Procesar automáticamente los archivos de compensación (clearing) de las redes externas.
RF2: Comparar las operaciones del banco contra redes externas y billetera para detectar diferencias.
RF3: Generar reporte de inconsistencias y habilitar el flujo de reclamos.</t>
  </si>
  <si>
    <t>RNF1: La conciliación diaria debe completarse antes del inicio de operaciones del siguiente día hábil.
RNF2: El sistema debe procesar archivos de gran volumen sin pérdida de registros.
RNF3: Las diferencias detectadas deben quedar documentadas con evidencia para su seguimiento.</t>
  </si>
  <si>
    <t>RF1: Detectar intentos de suplantación facial (deepfake/spoofing) durante la autenticación.
RF2: Identificar geolocalización atípica o transacciones inusuales según el comportamiento del cliente.
RF3: Bloquear preventivamente una operación ante una alerta de alto riesgo y mostrarla en un tablero.</t>
  </si>
  <si>
    <t>RNF1: Las alertas de fraude deben generarse en tiempo real (menos de 1 segundo desde el evento).
RNF2: El motor antifraude debe permitir actualizar sus reglas/modelos sin detener el servicio.
RNF3: La tasa de falsos positivos debe mantenerse dentro del umbral definido por el negocio.</t>
  </si>
  <si>
    <t>RF1: Cotejar a cada cliente contra listas restrictivas (OFAC, World-Check, PEP) en el onboarding.
RF2: Validar las transacciones en tiempo real contra las mismas listas restrictivas.
RF3: Generar un reporte de operación sospechosa (ROS) ante coincidencias relevantes.</t>
  </si>
  <si>
    <t>RNF1: El cotejo contra listas restrictivas debe ejecutarse en menos de 2 segundos por transacción.
RNF2: Las listas restrictivas deben actualizarse de forma periódica y automática.
RNF3: El resultado de cada validación debe registrarse para auditorías regulatorias (SBS/UIF).</t>
  </si>
  <si>
    <t>RF1: Enviar una alerta push inmediata por cada transacción o inicio de sesión biométrico.
RF2: Enviar un correo con el mismo detalle de la alerta como respaldo.
RF3: Permitir al cliente reportar una actividad como no reconocida desde la notificación.</t>
  </si>
  <si>
    <t>RNF1: Las notificaciones deben entregarse en menos de 5 segundos desde el evento.
RNF2: El sistema debe soportar múltiples canales sin perder mensajes ante la caída de un proveedor.
RNF3: El reporte de actividad no reconocida debe escalar automáticamente al módulo antifraude.</t>
  </si>
  <si>
    <t>RF1: Registrar todo cambio administrativo y verificación facial en un log append-only.
RF2: Aplicar un hash criptográfico a cada registro almacenado.
RF3: Permitir al auditor consultar registros filtrando por fecha, usuario o tipo de evento.</t>
  </si>
  <si>
    <t>RNF1: El log debe garantizar no repudio e impedir la modificación o eliminación de registros.
RNF2: La bitácora debe conservar los registros por el periodo mínimo exigido por la regulación vigente.
RNF3: Las consultas de auditoría no deben impactar el rendimiento de los sistemas transaccionales en producción.</t>
  </si>
  <si>
    <t>RF1: Aperturar bolsillos de ahorro y cuentas en USD/EUR desde la app.
RF2: Configurar reglas de redondeo automático hacia una meta de ahorro.
RF3: Traspasar fondos entre bolsillos y cuentas del mismo cliente.</t>
  </si>
  <si>
    <t>RNF1: El cálculo y acreditación de rendimientos debe ejecutarse de forma automática y periódica.
RNF2: Los traspasos entre bolsillos deben reflejarse en el saldo en menos de 5 segundos.
RNF3: El sistema debe soportar múltiples monedas sin errores de redondeo en las conversiones.</t>
  </si>
  <si>
    <t>RF1: Mostrar la cotización de cambio de divisas en tiempo real.
RF2: Congelar la cotización mostrada durante 30 segundos.
RF3: Ejecutar la compra/venta de divisas al confirmar dentro del tiempo vigente.</t>
  </si>
  <si>
    <t>RNF1: La cotización debe actualizarse en tiempo real desde el proveedor de tipo de cambio.
RNF2: El sistema debe rechazar automáticamente la operación si la cotización congelada expiró.
RNF3: El spread aplicado debe ser configurable por el área de tesorería sin cambios de código.</t>
  </si>
  <si>
    <t>RF1: Permitir programar reglas de distribución automática por porcentaje sobre los ingresos.
RF2: Ejecutar la dispersión automática hacia facturas, ahorros e inversión al recibir un abono masivo.
RF3: Validar que la suma de los porcentajes configurados no exceda el 100%.</t>
  </si>
  <si>
    <t>RNF1: La dispersión automática debe ejecutarse en menos de 10 segundos tras detectar el abono.
RNF2: El sistema debe notificar al cliente el detalle de cada distribución ejecutada en tiempo real.
RNF3: Las reglas de distribución deben poder modificarse sin afectar distribuciones ya ejecutadas.</t>
  </si>
  <si>
    <t>FRAUDE, AUDITORÍA Y CUMPLIMIENTO</t>
  </si>
  <si>
    <t>Como cliente, quiero recibir una constancia y alerta inmediata por cada movimiento para detectar actividad desconocida.</t>
  </si>
  <si>
    <t>Plan de Sprints para el MVP</t>
  </si>
  <si>
    <t>Objetivo</t>
  </si>
  <si>
    <t>Historias</t>
  </si>
  <si>
    <t>Entregable</t>
  </si>
  <si>
    <t>MVP</t>
  </si>
  <si>
    <t>Inicio</t>
  </si>
  <si>
    <t>Duración</t>
  </si>
  <si>
    <t>MVP controlado y conciliado</t>
  </si>
  <si>
    <t>RESUMEN MVP</t>
  </si>
  <si>
    <t>Resultado</t>
  </si>
  <si>
    <t>12 semanas</t>
  </si>
  <si>
    <t>Registro con identidad biométrica (KYC), activación de cuenta y autenticación segura</t>
  </si>
  <si>
    <t>Autorización facial para transferencias altas y firma de contratos, junto con el ciclo digital completo de crédito (simular, solicitar, evaluar, firmar, desembolsar).</t>
  </si>
  <si>
    <t>Consolidar los medios de pago (billetera, QR, servicios/recargas) sobre un motor transaccional en tiempo real con contabilidad y conciliación confiables.</t>
  </si>
  <si>
    <t>Blindar el banco digital con antifraude y cumplimiento PLDFT/AML, y ampliar la propuesta de valor con cuentas multidivisa, cambio de divisas y distribución automática de ingresos.</t>
  </si>
  <si>
    <t>HU01-HU06</t>
  </si>
  <si>
    <t>HU07-HU12</t>
  </si>
  <si>
    <t>HU13-HU19</t>
  </si>
  <si>
    <t>HU20-HU26</t>
  </si>
  <si>
    <t>Registro de usuarios, inicio de sesión, consulta de cuentas y transferencias propias.</t>
  </si>
  <si>
    <t>Validación para pagos altos, lista de contactos frecuentes y módulo de préstamos.</t>
  </si>
  <si>
    <t>Pagos y cobros con código QR, pago de servicios básicos y registro contable.</t>
  </si>
  <si>
    <t>Alertas por movimientos, verificación de seguridad y compra/venta de moneda extranjera.</t>
  </si>
  <si>
    <t>PLAN</t>
  </si>
  <si>
    <t>Cómo se Procesa el Dinero</t>
  </si>
  <si>
    <t>Operación</t>
  </si>
  <si>
    <t>Etapa</t>
  </si>
  <si>
    <t>Responsable</t>
  </si>
  <si>
    <t>Qué ocurre</t>
  </si>
  <si>
    <t>Estado</t>
  </si>
  <si>
    <t>Control principal</t>
  </si>
  <si>
    <t>Efecto en el dinero</t>
  </si>
  <si>
    <t>Quién lo visualiza</t>
  </si>
  <si>
    <t>Transferencia</t>
  </si>
  <si>
    <t>1. Solicitud</t>
  </si>
  <si>
    <t>Ingresa cuenta destino e importe y confirma.</t>
  </si>
  <si>
    <t>Iniciada</t>
  </si>
  <si>
    <t>Validar cuenta, beneficiario y formato.</t>
  </si>
  <si>
    <t>Sin movimiento</t>
  </si>
  <si>
    <t>2. Autorización</t>
  </si>
  <si>
    <t>Cliente / Fraude</t>
  </si>
  <si>
    <t>MFA y evaluación de límites y riesgo.</t>
  </si>
  <si>
    <t>Validada o rechazada</t>
  </si>
  <si>
    <t>Biometría/OTP, dispositivo, velocidad y listas de riesgo.</t>
  </si>
  <si>
    <t>Cliente y Fraude</t>
  </si>
  <si>
    <t>3. Reserva</t>
  </si>
  <si>
    <t>Motor transaccional</t>
  </si>
  <si>
    <t>Reserva el importe y evita solicitudes duplicadas.</t>
  </si>
  <si>
    <t>Autorizada</t>
  </si>
  <si>
    <t>Saldo suficiente e idempotencia.</t>
  </si>
  <si>
    <t>Disponible baja; retenido sube</t>
  </si>
  <si>
    <t>Cliente y Operaciones</t>
  </si>
  <si>
    <t>4. Contabilización</t>
  </si>
  <si>
    <t>Libro mayor</t>
  </si>
  <si>
    <t>Registra débito y crédito de manera atómica.</t>
  </si>
  <si>
    <t>Contabilizada</t>
  </si>
  <si>
    <t>Partida doble y ID único.</t>
  </si>
  <si>
    <t>Débito origen / crédito destino o tránsito</t>
  </si>
  <si>
    <t>Operaciones y Auditoría</t>
  </si>
  <si>
    <t>5. Liquidación</t>
  </si>
  <si>
    <t>Red / Banco receptor</t>
  </si>
  <si>
    <t>Confirma la entrega de fondos al destino.</t>
  </si>
  <si>
    <t>Liquidada</t>
  </si>
  <si>
    <t>Canal cifrado y respuesta final.</t>
  </si>
  <si>
    <t>Fondos entregados</t>
  </si>
  <si>
    <t>6. Conciliación</t>
  </si>
  <si>
    <t>Compara libro mayor, red y banco.</t>
  </si>
  <si>
    <t>Conciliada o excepción</t>
  </si>
  <si>
    <t>Coincidencia de ID, monto, fecha y estado.</t>
  </si>
  <si>
    <t>Ajuste solo si está autorizado</t>
  </si>
  <si>
    <t>Operaciones y Cumplimiento</t>
  </si>
  <si>
    <t>Pago QR</t>
  </si>
  <si>
    <t>1. QR y lectura</t>
  </si>
  <si>
    <t>Comercio / Cliente</t>
  </si>
  <si>
    <t>Genera y escanea QR con importe, referencia y vencimiento.</t>
  </si>
  <si>
    <t>Formato interoperable y QR vigente.</t>
  </si>
  <si>
    <t>Cliente y Comercio</t>
  </si>
  <si>
    <t>2. Pago</t>
  </si>
  <si>
    <t>Cliente / Motor</t>
  </si>
  <si>
    <t>Confirma con MFA; valida saldo, riesgo y duplicidad.</t>
  </si>
  <si>
    <t>Autenticación reforzada e idempotencia.</t>
  </si>
  <si>
    <t>Fondos retenidos</t>
  </si>
  <si>
    <t>3. Registro y liquidación</t>
  </si>
  <si>
    <t>Libro mayor / Red</t>
  </si>
  <si>
    <t>Contabiliza, envía y confirma el pago al comercio.</t>
  </si>
  <si>
    <t>Partida doble y conciliación posterior.</t>
  </si>
  <si>
    <t>Débito cliente / crédito comercio</t>
  </si>
  <si>
    <t>Cliente, Comercio y Operaciones</t>
  </si>
  <si>
    <t>Préstamo</t>
  </si>
  <si>
    <t>Simula y presenta una solicitud autorizando la evaluación.</t>
  </si>
  <si>
    <t>Solicitada</t>
  </si>
  <si>
    <t>Consentimiento y expediente completo.</t>
  </si>
  <si>
    <t>Cliente y Crédito</t>
  </si>
  <si>
    <t>2. Evaluación</t>
  </si>
  <si>
    <t>Analista de crédito</t>
  </si>
  <si>
    <t>Evalúa ingresos, deuda, capacidad de pago y riesgo.</t>
  </si>
  <si>
    <t>Aprobada, observada o rechazada</t>
  </si>
  <si>
    <t>Separación entre solicitud y aprobación.</t>
  </si>
  <si>
    <t>Crédito y Cumplimiento</t>
  </si>
  <si>
    <t>3. Aceptación</t>
  </si>
  <si>
    <t>Acepta monto, tasa, plazo, cuota y condiciones.</t>
  </si>
  <si>
    <t>Formalizada</t>
  </si>
  <si>
    <t>Confirmación reforzada y contrato trazable.</t>
  </si>
  <si>
    <t>4. Desembolso</t>
  </si>
  <si>
    <t>Motor / Libro mayor</t>
  </si>
  <si>
    <t>Abona el préstamo y registra la obligación del cliente.</t>
  </si>
  <si>
    <t>Desembolsada</t>
  </si>
  <si>
    <t>Aprobación vigente y partida doble.</t>
  </si>
  <si>
    <t>Crédito a cuenta / débito cartera de préstamos</t>
  </si>
  <si>
    <t>Cliente, Crédito y Contabilidad</t>
  </si>
  <si>
    <t>5. Pago de cuota</t>
  </si>
  <si>
    <t>Cliente / Sistema</t>
  </si>
  <si>
    <t>Cobra capital, interés y conceptos permitidos según cronograma.</t>
  </si>
  <si>
    <t>Pagada o vencida</t>
  </si>
  <si>
    <t>Aplicación correcta y constancia.</t>
  </si>
  <si>
    <t>Baja efectivo y deuda según composición</t>
  </si>
  <si>
    <t>Excepción</t>
  </si>
  <si>
    <t>Reverso</t>
  </si>
  <si>
    <t>Operaciones autorizado</t>
  </si>
  <si>
    <t>Crea una operación compensatoria asociada a la original.</t>
  </si>
  <si>
    <t>Revertida</t>
  </si>
  <si>
    <t>Nunca borrar la operación original.</t>
  </si>
  <si>
    <t>Asientos compensatorios</t>
  </si>
  <si>
    <t>Operaciones, Cumplimiento y Auditoría</t>
  </si>
  <si>
    <t>Matriz de Accesos y Visibilidad</t>
  </si>
  <si>
    <t>Saldos</t>
  </si>
  <si>
    <t>Conciliación</t>
  </si>
  <si>
    <t>Datos personales</t>
  </si>
  <si>
    <t>Usuarios/permisos</t>
  </si>
  <si>
    <t>Alcance / restricción</t>
  </si>
  <si>
    <t>Propios</t>
  </si>
  <si>
    <t>Propias</t>
  </si>
  <si>
    <t>Consulta y autoriza sus operaciones</t>
  </si>
  <si>
    <t>Cobros propios</t>
  </si>
  <si>
    <t>Mínimos</t>
  </si>
  <si>
    <t>Genera QR y consulta pagos recibidos</t>
  </si>
  <si>
    <t>Enmascarados</t>
  </si>
  <si>
    <t>Solo relación crediticia</t>
  </si>
  <si>
    <t>Expedientes asignados</t>
  </si>
  <si>
    <t>Necesarios</t>
  </si>
  <si>
    <t>Evalúa; no desembolsa ni cambia roles</t>
  </si>
  <si>
    <t>Estado de desembolso</t>
  </si>
  <si>
    <t>Concilia y gestiona excepciones</t>
  </si>
  <si>
    <t>Alertas relacionadas</t>
  </si>
  <si>
    <t>Retiene o libera casos según política</t>
  </si>
  <si>
    <t>Autorizados</t>
  </si>
  <si>
    <t>Investiga operaciones inusuales</t>
  </si>
  <si>
    <t>Administrador de seguridad</t>
  </si>
  <si>
    <t>Gestiona identidades, roles y permisos</t>
  </si>
  <si>
    <t>Solo lectura</t>
  </si>
  <si>
    <t>Verifica evidencia; no ejecuta operaciones</t>
  </si>
  <si>
    <t>Servicio transaccional</t>
  </si>
  <si>
    <t>Técnico</t>
  </si>
  <si>
    <t>Procesa</t>
  </si>
  <si>
    <t>Desembolso autorizado</t>
  </si>
  <si>
    <t>Tokenizados</t>
  </si>
  <si>
    <t>Cuenta técnica sin acceso interactivo</t>
  </si>
  <si>
    <t>Equipo Scrum y Responsabilidades</t>
  </si>
  <si>
    <t>N.°</t>
  </si>
  <si>
    <t>Integrante</t>
  </si>
  <si>
    <t>Especialidad</t>
  </si>
  <si>
    <t>Responsabilidades principales</t>
  </si>
  <si>
    <t>Lidera</t>
  </si>
  <si>
    <t>Apoya</t>
  </si>
  <si>
    <t>Participación</t>
  </si>
  <si>
    <t>Observación</t>
  </si>
  <si>
    <t>Jair Pool Conislla Bocangel</t>
  </si>
  <si>
    <t>Scrum Master</t>
  </si>
  <si>
    <t>Gestión ágil y análisis funcional</t>
  </si>
  <si>
    <t>Facilitar ceremonias, remover impedimentos, coordinar entregables y validar el backlog.</t>
  </si>
  <si>
    <t>Identidad y planificación</t>
  </si>
  <si>
    <t>Documentación y presentación</t>
  </si>
  <si>
    <t>Semanas 1-18</t>
  </si>
  <si>
    <t>Primer integrante indicado por el equipo</t>
  </si>
  <si>
    <t>Jeremy Piero Rojas Egusquiza</t>
  </si>
  <si>
    <t>Desarrollador Backend</t>
  </si>
  <si>
    <t>API y servicios bancarios</t>
  </si>
  <si>
    <t>Construir autenticación, servicios de cuentas, transferencias e integración con el motor transaccional.</t>
  </si>
  <si>
    <t>Cuentas y transferencias</t>
  </si>
  <si>
    <t>Préstamos y QR</t>
  </si>
  <si>
    <t>Semanas 2-17</t>
  </si>
  <si>
    <t>Rol asignado para equilibrar el equipo</t>
  </si>
  <si>
    <t>Jheampierre Johayro Ralli Peralta</t>
  </si>
  <si>
    <t>Desarrollador Frontend</t>
  </si>
  <si>
    <t>Interfaz y experiencia de usuario</t>
  </si>
  <si>
    <t>Construir pantallas de acceso, cuentas, transferencias, préstamos, billetera y pagos QR.</t>
  </si>
  <si>
    <t>Billetera y QR</t>
  </si>
  <si>
    <t>Préstamos y accesibilidad</t>
  </si>
  <si>
    <t>Andersson Junior Espinoza Medina</t>
  </si>
  <si>
    <t>Desarrollador de Datos</t>
  </si>
  <si>
    <t>Base de datos y lógica transaccional</t>
  </si>
  <si>
    <t>Diseñar modelo de datos, libro mayor, asientos, préstamos, saldos y conciliación.</t>
  </si>
  <si>
    <t>Procesamiento del dinero</t>
  </si>
  <si>
    <t>Backend e integración</t>
  </si>
  <si>
    <t>Gonzales Flores, Gian Piero</t>
  </si>
  <si>
    <t>Desarrollador QA y Seguridad</t>
  </si>
  <si>
    <t>Pruebas, seguridad y fraude</t>
  </si>
  <si>
    <t>Diseñar pruebas, validar criterios de aceptación, revisar accesos, MFA, fraude y vulnerabilidades.</t>
  </si>
  <si>
    <t>Seguridad y antifraude</t>
  </si>
  <si>
    <t>Pruebas integrales</t>
  </si>
  <si>
    <t>Desarrollador DevOps e Integración</t>
  </si>
  <si>
    <t>Entornos, automatización y observabilidad</t>
  </si>
  <si>
    <t>Preparar repositorio, integración continua, despliegues, registros y soporte a la integración final.</t>
  </si>
  <si>
    <t>Integración y despliegue</t>
  </si>
  <si>
    <t>QA y documentación técnica</t>
  </si>
  <si>
    <t>Diagrama de Gantt - 18 Semanas</t>
  </si>
  <si>
    <t>Semana actual</t>
  </si>
  <si>
    <t>Semana de exposición</t>
  </si>
  <si>
    <t>Periodo de ejecución: Semanas 1-17</t>
  </si>
  <si>
    <t>Fase / Sprint</t>
  </si>
  <si>
    <t>Actividad</t>
  </si>
  <si>
    <t>T01</t>
  </si>
  <si>
    <t>Formación del equipo, Scrum Master, Drive y repositorio</t>
  </si>
  <si>
    <t>Jair + todo el equipo</t>
  </si>
  <si>
    <t>Equipo organizado y repositorio creado</t>
  </si>
  <si>
    <t>T02</t>
  </si>
  <si>
    <t>Análisis</t>
  </si>
  <si>
    <t>Investigación, épicas, historias, criterios y backlog</t>
  </si>
  <si>
    <t>Excel de avance y alcance priorizado</t>
  </si>
  <si>
    <t>T03</t>
  </si>
  <si>
    <t>Diseño</t>
  </si>
  <si>
    <t>Arquitectura, prototipo UX y definición de integraciones</t>
  </si>
  <si>
    <t>Jeremy + Jheampierre + Andersson</t>
  </si>
  <si>
    <t>Arquitectura y prototipo navegable</t>
  </si>
  <si>
    <t>T04</t>
  </si>
  <si>
    <t>Preparación</t>
  </si>
  <si>
    <t>Modelo de datos, contratos API, entornos y CI</t>
  </si>
  <si>
    <t>Andersson + Jeremy + integrante pendiente</t>
  </si>
  <si>
    <t>Base técnica preparada</t>
  </si>
  <si>
    <t>T05</t>
  </si>
  <si>
    <t>Identidad, autenticación y gobierno de accesos</t>
  </si>
  <si>
    <t>Jeremy + Jheampierre + Gian Piero</t>
  </si>
  <si>
    <t>Acceso seguro y roles</t>
  </si>
  <si>
    <t>T06</t>
  </si>
  <si>
    <t>Cuentas, motor transaccional y libro mayor</t>
  </si>
  <si>
    <t>Andersson + Jeremy</t>
  </si>
  <si>
    <t>Núcleo de saldos y contabilidad</t>
  </si>
  <si>
    <t>T07</t>
  </si>
  <si>
    <t>Transferencias propias, terceros, beneficiarios y antifraude</t>
  </si>
  <si>
    <t>Jeremy + Gian Piero</t>
  </si>
  <si>
    <t>Transferencias trazables</t>
  </si>
  <si>
    <t>T08</t>
  </si>
  <si>
    <t>Préstamos: simulación, solicitud, evaluación y desembolso</t>
  </si>
  <si>
    <t>Andersson + Jheampierre + Jeremy</t>
  </si>
  <si>
    <t>Ciclo digital de préstamos</t>
  </si>
  <si>
    <t>T09</t>
  </si>
  <si>
    <t>Billetera digital y pagos QR</t>
  </si>
  <si>
    <t>Jheampierre + Jeremy</t>
  </si>
  <si>
    <t>Pago QR completo</t>
  </si>
  <si>
    <t>T10</t>
  </si>
  <si>
    <t>Conciliación, cumplimiento, alertas y estabilización</t>
  </si>
  <si>
    <t>Gian Piero + integrante pendiente</t>
  </si>
  <si>
    <t>T11</t>
  </si>
  <si>
    <t>Gestión Scrum</t>
  </si>
  <si>
    <t>Planning, dailies, revisión y retrospectiva</t>
  </si>
  <si>
    <t>Seguimiento de seis sprints</t>
  </si>
  <si>
    <t>T12</t>
  </si>
  <si>
    <t>Calidad</t>
  </si>
  <si>
    <t>Pruebas funcionales, seguridad y regresión continua</t>
  </si>
  <si>
    <t>Gian Piero + desarrolladores</t>
  </si>
  <si>
    <t>Evidencias y defectos controlados</t>
  </si>
  <si>
    <t>T13</t>
  </si>
  <si>
    <t>Cierre</t>
  </si>
  <si>
    <t>Integración completa, pruebas finales y correcciones</t>
  </si>
  <si>
    <t>Todo el equipo</t>
  </si>
  <si>
    <t>Versión candidata a exposición</t>
  </si>
  <si>
    <t>T14</t>
  </si>
  <si>
    <t>Documentación técnica, memoria y anexos</t>
  </si>
  <si>
    <t>Documentación final</t>
  </si>
  <si>
    <t>T15</t>
  </si>
  <si>
    <t>Preparación del guion y ensayo de la demostración</t>
  </si>
  <si>
    <t>Presentación ensayada</t>
  </si>
  <si>
    <t>T16</t>
  </si>
  <si>
    <t>Exposición</t>
  </si>
  <si>
    <t>Exposición y demostración final</t>
  </si>
  <si>
    <t>Proyecto presentado</t>
  </si>
  <si>
    <t>Completado</t>
  </si>
  <si>
    <t>Impacto</t>
  </si>
  <si>
    <t>Matriz de Riesgos - Banco Digital con Biometría</t>
  </si>
  <si>
    <t>Escalas: Probabilidad (Alta/Media/Baja) x Impacto (Alto/Medio/Bajo) -&gt; Nivel P*I. Fuente: Definición técnica de sprints HU01-HU26.</t>
  </si>
  <si>
    <t>Fase / Sprint donde se presenta</t>
  </si>
  <si>
    <t>Probabilidad</t>
  </si>
  <si>
    <t>Nivel P*I</t>
  </si>
  <si>
    <t>Estrategia de Mitigación</t>
  </si>
  <si>
    <t>Plan de Contingencia</t>
  </si>
  <si>
    <t>Riesgo01</t>
  </si>
  <si>
    <t>Sprint 1 - KYC</t>
  </si>
  <si>
    <t>Media</t>
  </si>
  <si>
    <t>Alto</t>
  </si>
  <si>
    <t>Entrenar el OCR con datasets diversos de documentos peruanos, validación cruzada de campos extraídos y doble captura.</t>
  </si>
  <si>
    <t>Reintentos limitados, captura manual asistida y derivación a revisión humana o agencia.</t>
  </si>
  <si>
    <t>Riesgo02</t>
  </si>
  <si>
    <t>Circuit breaker y reintentos con backoff exponencial hacia RENIEC, guardado parcial del progreso KYC y proveedor alternativo de verificación de identidad.</t>
  </si>
  <si>
    <t>Cola de registros asistidos y reprogramación de verificación diferida.</t>
  </si>
  <si>
    <t>Riesgo03</t>
  </si>
  <si>
    <t>Liveness en doble capa (on-device + servidor), umbrales parametrizables y retraining continuo frente a nuevas técnicas de spoofing/deepfake.</t>
  </si>
  <si>
    <t>Canal alternativo (videollamada, huella) y revisión manual por analista.</t>
  </si>
  <si>
    <t>Riesgo04</t>
  </si>
  <si>
    <t>Sprint 1 - Activación</t>
  </si>
  <si>
    <t>Medio</t>
  </si>
  <si>
    <t>Utilizar al menos dos proveedores de SMS/email con enrutamiento y monitoreo de entrega, límites de reenvío configurados.</t>
  </si>
  <si>
    <t>OTP por app con token, vía de asistencia telefónica o fallback a preguntas de seguridad.</t>
  </si>
  <si>
    <t>Riesgo05</t>
  </si>
  <si>
    <t>Sprint 1 - Autenticación</t>
  </si>
  <si>
    <t>Alta</t>
  </si>
  <si>
    <t>Optimización del pipeline facial para cumplir &lt;1,5 s, pruebas de UX con dispositivos de gama baja, fallback inmediato a huella/PIN.</t>
  </si>
  <si>
    <t>Umbral de degradación automática a otro factor sin perjudicar la seguridad.</t>
  </si>
  <si>
    <t>Riesgo06</t>
  </si>
  <si>
    <t>Captchas progresivos, bloqueo solo ante fallos consecutivos y notificaciones de seguridad a cada intento fallido.</t>
  </si>
  <si>
    <t>Desbloqueo autónomo por re-biometría (HU04) o asistencia de soporte.</t>
  </si>
  <si>
    <t>Riesgo07</t>
  </si>
  <si>
    <t>Sprint 2 - Pagos sensibles</t>
  </si>
  <si>
    <t>Relacionar 1 a 1 el token facial con la transacción y su hash, biometric match en vivo y registro de auditoría del intento.</t>
  </si>
  <si>
    <t>Reversión de la operación no autorizada, congelamiento preventivo y análisis forense como evento de seguridad.</t>
  </si>
  <si>
    <t>Riesgo08</t>
  </si>
  <si>
    <t>Sprint 2 - Firma digital</t>
  </si>
  <si>
    <t>Revisión legal de la validez de la firma biométrico-facial en la jurisdicción peruana, certificado digital y evidencia enlazada de consentimiento.</t>
  </si>
  <si>
    <t>Firma presencial o notarial como respaldo y protocolo de defensa ante impugnaciones.</t>
  </si>
  <si>
    <t>Riesgo09</t>
  </si>
  <si>
    <t>Sprint 2 - Evaluación crediticia</t>
  </si>
  <si>
    <t>Validación estricta de datos obligatorios, autorización explícita del cliente para centrales de riesgo y modelos robustos ante datos incompletos.</t>
  </si>
  <si>
    <t>Revisión manual o escalamiento de la solicitud ante resultados no concluyentes.</t>
  </si>
  <si>
    <t>Riesgo10</t>
  </si>
  <si>
    <t>Sprint 2 - Desembolso</t>
  </si>
  <si>
    <t>Baja</t>
  </si>
  <si>
    <t>Operación idempotente con identificador único, verificación de saldo en el motor y seguimiento en el ledger antes de acreditar.</t>
  </si>
  <si>
    <t>Reintento automático controlado, reversión del asiento y notificación al cliente.</t>
  </si>
  <si>
    <t>Riesgo11</t>
  </si>
  <si>
    <t>Sprint 2 - Simulador</t>
  </si>
  <si>
    <t>Cálculo de TCEA validado contra fórmulas oficiales del regulador y pruebas de exactitud sobre casos de referencia del SBS.</t>
  </si>
  <si>
    <t>Actualización de parámetros, corrección de simulaciones emitidas y comunicación transparente al cliente.</t>
  </si>
  <si>
    <t>Riesgo12</t>
  </si>
  <si>
    <t>Sprint 2 - Crédito</t>
  </si>
  <si>
    <t>Evaluación con score propio + centrales de riesgo y reglas de aprobación conservadoras con bandas por monto.</t>
  </si>
  <si>
    <t>Aprobaciones escaladas a comité de crédito y límites de exposición segmentados por perfil de riesgo.</t>
  </si>
  <si>
    <t>Riesgo13</t>
  </si>
  <si>
    <t>Sprint 3 - Motor transaccional</t>
  </si>
  <si>
    <t>Idempotencia por UUID en cada transacción, bloqueo atómico de fondos, patrón outbox y controles de saldo previos.</t>
  </si>
  <si>
    <t>Reversión del asiento duplicado en el ledger, contracargo y conciliación posterior.</t>
  </si>
  <si>
    <t>Riesgo14</t>
  </si>
  <si>
    <t>Colas de procesamiento, caché de lectura de saldos, particionamiento por cuenta y pruebas de carga con picos definidos.</t>
  </si>
  <si>
    <t>Escalado horizontal, backpressure y ventana de reintentos sin afectar el SLA.</t>
  </si>
  <si>
    <t>Riesgo15</t>
  </si>
  <si>
    <t>Sprint 3 - Ledger</t>
  </si>
  <si>
    <t>Transacciones ACID, validación automática de débito = crédito y cierre contable diario automatizado que detecta desbalances.</t>
  </si>
  <si>
    <t>Asiento de corrección autorizado, recálculo del balance y reporte regulatorio del ajuste.</t>
  </si>
  <si>
    <t>Riesgo16</t>
  </si>
  <si>
    <t>Sprint 3 - Conciliación</t>
  </si>
  <si>
    <t>Conciliación automática diaria con reglas de matching (monto, fecha, referencia) frente a los archivos de clearing de redes externas.</t>
  </si>
  <si>
    <t>Flujo de reclamos, ajustes manuales doble-validados y priorización de diferencias por monto.</t>
  </si>
  <si>
    <t>Riesgo17</t>
  </si>
  <si>
    <t>Sprint 3 - QR</t>
  </si>
  <si>
    <t>Cumplimiento del estándar de QR interoperable de la industria peruana y certificación con redes y otras billeteras desde diseño.</t>
  </si>
  <si>
    <t>Doble motor de lectura interno y actualización de especificaciones ante cambios del estándar.</t>
  </si>
  <si>
    <t>Riesgo18</t>
  </si>
  <si>
    <t>Sprint 3 - Billetera</t>
  </si>
  <si>
    <t>Límites diarios configurables por usuario/dispositivo, monitoreo antifraude en pagos express y alertas por operaciones atípicas.</t>
  </si>
  <si>
    <t>Congelamiento preventivo de la billetera y verificación reforzada para reactivar.</t>
  </si>
  <si>
    <t>Riesgo19</t>
  </si>
  <si>
    <t>Sprint 4 - Antifraude</t>
  </si>
  <si>
    <t>Perfiles de comportamiento por cliente (ubicaciones, horarios y montos habituales) con alertas en niveles y reglas de excepción para viajes.</t>
  </si>
  <si>
    <t>Confirmación por OTP/biometría ante alerta, desbloqueo automático post-verificación.</t>
  </si>
  <si>
    <t>Riesgo20</t>
  </si>
  <si>
    <t>Sprint 4 - AML/PLDFT</t>
  </si>
  <si>
    <t>Umbrales de similitud calibrados, filtrado de coincidencias por algoritmo y revisión del oficial de cumplimiento antes de bloquear operaciones legítimas.</t>
  </si>
  <si>
    <t>Escalamiento a comité de cumplimiento y expediente de análisis del caso.</t>
  </si>
  <si>
    <t>Riesgo21</t>
  </si>
  <si>
    <t>Suscripción a feeds oficiales actualizados (OFAC, World-Check, PEP) con control de versión y despliegue inmediato.</t>
  </si>
  <si>
    <t>Rebarrido histórico de clientes y transacciones tras actualización de listas.</t>
  </si>
  <si>
    <t>Riesgo22</t>
  </si>
  <si>
    <t>Sprint 4 - Auditoría</t>
  </si>
  <si>
    <t>Log append-only con hash encadenado por registro y almacenamiento inmutable (WORM), permisos estrictos de solo lectura.</t>
  </si>
  <si>
    <t>Regeneración del log desde respaldos cifrados y revisión forense si se sospecha manipulación.</t>
  </si>
  <si>
    <t>Riesgo23</t>
  </si>
  <si>
    <t>Sprint 4 - Divisas</t>
  </si>
  <si>
    <t>Spread dinámico que absorbe la variación durante la congelación de 30 s y límites de exposición por cliente.</t>
  </si>
  <si>
    <t>Rechazo automático al expirar la cotización, re-cotización y confirmación posterior.</t>
  </si>
  <si>
    <t>Riesgo24</t>
  </si>
  <si>
    <t>Sprint 4 - Multidivisa</t>
  </si>
  <si>
    <t>Control de tipos de cambio internos, traspasos con registro en ledger y reglas de redondeo auditables antes de aplicar.</t>
  </si>
  <si>
    <t>Reversión de traspasos erróneos e informes de recomposición.</t>
  </si>
  <si>
    <t>Riesgo25</t>
  </si>
  <si>
    <t>Transversal - Todos los sprints</t>
  </si>
  <si>
    <t>Cumplimiento de la normativa de protección de datos personales, cifrado de datos biométricos en reposo/tránsito, consentimientos explícitos y minimización de datos.</t>
  </si>
  <si>
    <t>Notificación de incidentes al regulador, plan de respuesta a brechas y suspensión temporal de funcionalidades afectadas.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</si>
</sst>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emana &quot;0"/>
    <numFmt numFmtId="165" formatCode="&quot;Sem &quot;0"/>
  </numFmts>
  <fonts count="40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7F6000"/>
      <name val="Calibri"/>
      <charset val="1"/>
    </font>
    <font>
      <b/>
      <sz val="10"/>
      <color rgb="FF404040"/>
      <name val="Calibri"/>
      <charset val="1"/>
    </font>
    <font>
      <b/>
      <sz val="18"/>
      <color rgb="FFFFFFFF"/>
      <name val="Calibri"/>
      <charset val="1"/>
    </font>
    <font>
      <i/>
      <sz val="10"/>
      <color rgb="FF243447"/>
      <name val="Calibri"/>
      <charset val="1"/>
    </font>
    <font>
      <b/>
      <sz val="10"/>
      <color rgb="FFFFFFFF"/>
      <name val="Calibri"/>
      <charset val="1"/>
    </font>
    <font>
      <sz val="10"/>
      <color rgb="FF243447"/>
      <name val="Calibri"/>
      <charset val="1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0"/>
      <color rgb="FF1F3864"/>
      <name val="Calibri"/>
    </font>
    <font>
      <sz val="10"/>
      <name val="Calibri"/>
    </font>
    <font>
      <b/>
      <sz val="10"/>
      <color rgb="FF375623"/>
      <name val="Calibri"/>
    </font>
    <font>
      <b/>
      <sz val="10"/>
      <color rgb="FF7F6000"/>
      <name val="Calibri"/>
    </font>
    <font>
      <b/>
      <sz val="10"/>
      <color rgb="FF404040"/>
      <name val="Calibri"/>
    </font>
    <font>
      <b/>
      <sz val="10"/>
      <color rgb="FFC00000"/>
      <name val="Calibri"/>
    </font>
    <font>
      <i/>
      <sz val="10"/>
      <name val="Calibri"/>
    </font>
    <font>
      <b/>
      <sz val="10"/>
      <color rgb="FF1F497D"/>
      <name val="Calibri"/>
    </font>
    <font>
      <sz val="11"/>
      <name val="Carlito"/>
    </font>
    <font>
      <b/>
      <sz val="18"/>
      <color rgb="FFFFFFFF"/>
      <name val="Carlito"/>
    </font>
    <font>
      <i/>
      <sz val="10"/>
      <color rgb="FF243447"/>
      <name val="Carlito"/>
    </font>
    <font>
      <b/>
      <sz val="11"/>
      <color rgb="FFFFFFFF"/>
      <name val="Carlito"/>
    </font>
    <font>
      <sz val="10"/>
      <color rgb="FF243447"/>
      <name val="Carlito"/>
    </font>
    <font>
      <b/>
      <sz val="10"/>
      <color rgb="FF24577F"/>
      <name val="Carlito"/>
    </font>
    <font>
      <b/>
      <sz val="10"/>
      <color rgb="FFFFFFFF"/>
      <name val="Carlito"/>
    </font>
    <font>
      <b/>
      <sz val="14"/>
      <color theme="6"/>
      <name val="Aptos Narrow"/>
      <family val="2"/>
    </font>
    <font>
      <b/>
      <sz val="10"/>
      <color rgb="FF117C74"/>
      <name val="Carlito"/>
    </font>
    <font>
      <b/>
      <sz val="12"/>
      <color rgb="FF117C74"/>
      <name val="Carlito"/>
    </font>
    <font>
      <b/>
      <sz val="11"/>
      <color rgb="FF24577F"/>
      <name val="Carlito"/>
    </font>
    <font>
      <b/>
      <sz val="13"/>
      <color rgb="FF9A6700"/>
      <name val="Carlito"/>
    </font>
    <font>
      <b/>
      <sz val="13"/>
      <color rgb="FF117C74"/>
      <name val="Carlito"/>
    </font>
    <font>
      <b/>
      <sz val="10"/>
      <color rgb="FF7F6000"/>
      <name val="Carlito"/>
    </font>
    <font>
      <i/>
      <sz val="9"/>
      <color rgb="FF666666"/>
      <name val="Calibri"/>
    </font>
    <font>
      <b/>
      <sz val="14"/>
      <color rgb="FF1F4E79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03764"/>
        <bgColor rgb="FF1F3864"/>
      </patternFill>
    </fill>
    <fill>
      <patternFill patternType="solid">
        <fgColor rgb="FFD9E2F3"/>
        <bgColor rgb="FFDCEAF7"/>
      </patternFill>
    </fill>
    <fill>
      <patternFill patternType="solid">
        <fgColor rgb="FFC6E0B4"/>
        <bgColor rgb="FFD0E0E3"/>
      </patternFill>
    </fill>
    <fill>
      <patternFill patternType="solid">
        <fgColor rgb="FFFFE699"/>
        <bgColor rgb="FFFCE5CD"/>
      </patternFill>
    </fill>
    <fill>
      <patternFill patternType="solid">
        <fgColor rgb="FFF4CCCC"/>
        <bgColor rgb="FFEAD1D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0E0E3"/>
      </patternFill>
    </fill>
    <fill>
      <patternFill patternType="solid">
        <fgColor rgb="FFD9D9D9"/>
        <bgColor rgb="FFD9D2E9"/>
      </patternFill>
    </fill>
    <fill>
      <patternFill patternType="solid">
        <fgColor rgb="FFD0E0E3"/>
        <bgColor rgb="FFCCD7E2"/>
      </patternFill>
    </fill>
    <fill>
      <patternFill patternType="solid">
        <fgColor rgb="FF17324D"/>
        <bgColor rgb="FF243447"/>
      </patternFill>
    </fill>
    <fill>
      <patternFill patternType="solid">
        <fgColor rgb="FFDCEAF7"/>
        <bgColor rgb="FFD9E2F3"/>
      </patternFill>
    </fill>
    <fill>
      <patternFill patternType="solid">
        <fgColor rgb="FF24577F"/>
        <bgColor rgb="FF1F3864"/>
      </patternFill>
    </fill>
    <fill>
      <patternFill patternType="solid">
        <fgColor rgb="FFFCE5CD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1F3864"/>
      </patternFill>
    </fill>
    <fill>
      <patternFill patternType="solid">
        <fgColor rgb="FF203764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rgb="FFF9FBFD"/>
      </patternFill>
    </fill>
    <fill>
      <patternFill patternType="solid">
        <fgColor rgb="FF17324D"/>
      </patternFill>
    </fill>
    <fill>
      <patternFill patternType="solid">
        <fgColor rgb="FFDCEAF7"/>
      </patternFill>
    </fill>
    <fill>
      <patternFill patternType="solid">
        <fgColor rgb="FF24577F"/>
      </patternFill>
    </fill>
    <fill>
      <patternFill patternType="solid">
        <fgColor rgb="FF117C74"/>
      </patternFill>
    </fill>
    <fill>
      <patternFill patternType="solid">
        <fgColor rgb="FFF4F7FA"/>
      </patternFill>
    </fill>
    <fill>
      <patternFill patternType="solid">
        <fgColor rgb="FFD8F0E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F0EC"/>
      </patternFill>
    </fill>
    <fill>
      <patternFill patternType="solid">
        <fgColor rgb="FFFCE5CD"/>
      </patternFill>
    </fill>
    <fill>
      <patternFill patternType="solid">
        <fgColor rgb="FFF8CECC"/>
      </patternFill>
    </fill>
    <fill>
      <patternFill patternType="solid">
        <fgColor rgb="FFFFE599"/>
      </patternFill>
    </fill>
    <fill>
      <patternFill patternType="solid">
        <fgColor rgb="FF1F4E79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CCD7E2"/>
      </bottom>
      <diagonal/>
    </border>
    <border>
      <left/>
      <right/>
      <top style="thin">
        <color rgb="FFCCD7E2"/>
      </top>
      <bottom style="thin">
        <color rgb="FFCCD7E2"/>
      </bottom>
      <diagonal/>
    </border>
    <border>
      <left/>
      <right/>
      <top style="thin">
        <color rgb="FFCCD7E2"/>
      </top>
      <bottom/>
      <diagonal/>
    </border>
    <border>
      <left style="thin">
        <color rgb="FF24577F"/>
      </left>
      <right/>
      <top style="thin">
        <color rgb="FF24577F"/>
      </top>
      <bottom style="thin">
        <color rgb="FF24577F"/>
      </bottom>
      <diagonal/>
    </border>
    <border>
      <left/>
      <right style="thin">
        <color rgb="FF24577F"/>
      </right>
      <top style="thin">
        <color rgb="FF24577F"/>
      </top>
      <bottom style="thin">
        <color rgb="FF24577F"/>
      </bottom>
      <diagonal/>
    </border>
    <border>
      <left/>
      <right/>
      <top style="thin">
        <color rgb="FF24577F"/>
      </top>
      <bottom style="thin">
        <color rgb="FF24577F"/>
      </bottom>
      <diagonal/>
    </border>
    <border>
      <left style="thin">
        <color rgb="FF117C74"/>
      </left>
      <right/>
      <top style="thin">
        <color rgb="FF117C74"/>
      </top>
      <bottom style="thin">
        <color rgb="FF117C74"/>
      </bottom>
      <diagonal/>
    </border>
    <border>
      <left/>
      <right/>
      <top style="thin">
        <color rgb="FF117C74"/>
      </top>
      <bottom style="thin">
        <color rgb="FF117C74"/>
      </bottom>
      <diagonal/>
    </border>
    <border>
      <left/>
      <right style="thin">
        <color rgb="FF117C74"/>
      </right>
      <top style="thin">
        <color rgb="FF117C74"/>
      </top>
      <bottom style="thin">
        <color rgb="FF117C7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3">
    <xf numFmtId="0" fontId="0" fillId="0" borderId="0"/>
    <xf numFmtId="0" fontId="24" fillId="0" borderId="0"/>
    <xf numFmtId="0" fontId="1" fillId="0" borderId="0"/>
  </cellStyleXfs>
  <cellXfs count="13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9" fillId="12" borderId="0" xfId="0" applyFont="1" applyFill="1" applyAlignment="1">
      <alignment vertical="center"/>
    </xf>
    <xf numFmtId="0" fontId="10" fillId="13" borderId="0" xfId="0" applyFont="1" applyFill="1" applyAlignment="1">
      <alignment vertical="center"/>
    </xf>
    <xf numFmtId="0" fontId="11" fillId="14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18" fillId="19" borderId="2" xfId="0" applyFont="1" applyFill="1" applyBorder="1" applyAlignment="1">
      <alignment horizontal="center" vertical="top" wrapText="1"/>
    </xf>
    <xf numFmtId="0" fontId="18" fillId="20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19" fillId="21" borderId="2" xfId="0" applyFont="1" applyFill="1" applyBorder="1" applyAlignment="1">
      <alignment horizontal="center" vertical="top" wrapText="1"/>
    </xf>
    <xf numFmtId="0" fontId="8" fillId="10" borderId="2" xfId="0" applyFont="1" applyFill="1" applyBorder="1" applyAlignment="1">
      <alignment horizontal="left" vertical="top" wrapText="1"/>
    </xf>
    <xf numFmtId="0" fontId="20" fillId="22" borderId="2" xfId="0" applyFont="1" applyFill="1" applyBorder="1" applyAlignment="1">
      <alignment horizontal="center" vertical="top" wrapText="1"/>
    </xf>
    <xf numFmtId="0" fontId="21" fillId="23" borderId="2" xfId="0" applyFont="1" applyFill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22" fillId="30" borderId="2" xfId="0" applyFont="1" applyFill="1" applyBorder="1" applyAlignment="1">
      <alignment horizontal="center" vertical="center" wrapText="1"/>
    </xf>
    <xf numFmtId="0" fontId="23" fillId="30" borderId="2" xfId="0" applyFont="1" applyFill="1" applyBorder="1" applyAlignment="1">
      <alignment horizontal="center" vertical="center" wrapText="1"/>
    </xf>
    <xf numFmtId="0" fontId="17" fillId="30" borderId="2" xfId="0" applyFont="1" applyFill="1" applyBorder="1" applyAlignment="1">
      <alignment horizontal="left" vertical="center" wrapText="1"/>
    </xf>
    <xf numFmtId="0" fontId="18" fillId="30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0" fillId="0" borderId="0" xfId="0"/>
    <xf numFmtId="0" fontId="28" fillId="0" borderId="5" xfId="1" applyFont="1" applyBorder="1" applyAlignment="1">
      <alignment vertical="center" wrapText="1"/>
    </xf>
    <xf numFmtId="0" fontId="28" fillId="0" borderId="6" xfId="1" applyFont="1" applyBorder="1" applyAlignment="1">
      <alignment vertical="center" wrapText="1"/>
    </xf>
    <xf numFmtId="0" fontId="28" fillId="0" borderId="7" xfId="1" applyFont="1" applyBorder="1" applyAlignment="1">
      <alignment vertical="center" wrapText="1"/>
    </xf>
    <xf numFmtId="0" fontId="30" fillId="33" borderId="8" xfId="1" applyFont="1" applyFill="1" applyBorder="1" applyAlignment="1">
      <alignment horizontal="center" vertical="center" wrapText="1"/>
    </xf>
    <xf numFmtId="0" fontId="30" fillId="33" borderId="9" xfId="1" applyFont="1" applyFill="1" applyBorder="1" applyAlignment="1">
      <alignment horizontal="center" vertical="center" wrapText="1"/>
    </xf>
    <xf numFmtId="0" fontId="29" fillId="35" borderId="5" xfId="1" applyFont="1" applyFill="1" applyBorder="1" applyAlignment="1">
      <alignment vertical="center" wrapText="1"/>
    </xf>
    <xf numFmtId="0" fontId="29" fillId="35" borderId="6" xfId="1" applyFont="1" applyFill="1" applyBorder="1" applyAlignment="1">
      <alignment vertical="center" wrapText="1"/>
    </xf>
    <xf numFmtId="0" fontId="29" fillId="35" borderId="7" xfId="1" applyFont="1" applyFill="1" applyBorder="1" applyAlignment="1">
      <alignment vertical="center" wrapText="1"/>
    </xf>
    <xf numFmtId="0" fontId="31" fillId="36" borderId="0" xfId="0" applyFont="1" applyFill="1" applyAlignment="1">
      <alignment horizontal="center" vertical="center"/>
    </xf>
    <xf numFmtId="0" fontId="30" fillId="33" borderId="8" xfId="0" applyFont="1" applyFill="1" applyBorder="1" applyAlignment="1">
      <alignment horizontal="center" vertical="center" wrapText="1"/>
    </xf>
    <xf numFmtId="0" fontId="30" fillId="33" borderId="10" xfId="0" applyFont="1" applyFill="1" applyBorder="1" applyAlignment="1">
      <alignment horizontal="center" vertical="center" wrapText="1"/>
    </xf>
    <xf numFmtId="0" fontId="30" fillId="33" borderId="9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vertical="center" wrapText="1"/>
    </xf>
    <xf numFmtId="0" fontId="28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vertical="center" wrapText="1"/>
    </xf>
    <xf numFmtId="0" fontId="28" fillId="0" borderId="7" xfId="0" applyFont="1" applyBorder="1" applyAlignment="1">
      <alignment horizontal="center" vertical="center" wrapText="1"/>
    </xf>
    <xf numFmtId="0" fontId="29" fillId="37" borderId="5" xfId="0" applyFont="1" applyFill="1" applyBorder="1" applyAlignment="1">
      <alignment horizontal="center" vertical="center" wrapText="1"/>
    </xf>
    <xf numFmtId="0" fontId="28" fillId="37" borderId="5" xfId="0" applyFont="1" applyFill="1" applyBorder="1" applyAlignment="1">
      <alignment vertical="center" wrapText="1"/>
    </xf>
    <xf numFmtId="0" fontId="28" fillId="37" borderId="5" xfId="0" applyFont="1" applyFill="1" applyBorder="1" applyAlignment="1">
      <alignment horizontal="center" vertical="center" wrapText="1"/>
    </xf>
    <xf numFmtId="0" fontId="0" fillId="37" borderId="0" xfId="0" applyFill="1"/>
    <xf numFmtId="0" fontId="29" fillId="38" borderId="5" xfId="0" applyFont="1" applyFill="1" applyBorder="1" applyAlignment="1">
      <alignment horizontal="center" vertical="center" wrapText="1"/>
    </xf>
    <xf numFmtId="0" fontId="28" fillId="38" borderId="5" xfId="0" applyFont="1" applyFill="1" applyBorder="1" applyAlignment="1">
      <alignment vertical="center" wrapText="1"/>
    </xf>
    <xf numFmtId="0" fontId="28" fillId="38" borderId="5" xfId="0" applyFont="1" applyFill="1" applyBorder="1" applyAlignment="1">
      <alignment horizontal="center" vertical="center" wrapText="1"/>
    </xf>
    <xf numFmtId="0" fontId="0" fillId="38" borderId="0" xfId="0" applyFill="1"/>
    <xf numFmtId="164" fontId="30" fillId="33" borderId="10" xfId="0" applyNumberFormat="1" applyFont="1" applyFill="1" applyBorder="1" applyAlignment="1">
      <alignment horizontal="center" vertical="center" wrapText="1"/>
    </xf>
    <xf numFmtId="164" fontId="30" fillId="33" borderId="9" xfId="0" applyNumberFormat="1" applyFont="1" applyFill="1" applyBorder="1" applyAlignment="1">
      <alignment horizontal="center" vertical="center" wrapText="1"/>
    </xf>
    <xf numFmtId="0" fontId="29" fillId="32" borderId="5" xfId="0" applyFont="1" applyFill="1" applyBorder="1" applyAlignment="1">
      <alignment horizontal="center" vertical="center" wrapText="1"/>
    </xf>
    <xf numFmtId="1" fontId="32" fillId="39" borderId="5" xfId="0" applyNumberFormat="1" applyFont="1" applyFill="1" applyBorder="1" applyAlignment="1">
      <alignment horizontal="center" vertical="center" wrapText="1"/>
    </xf>
    <xf numFmtId="0" fontId="29" fillId="32" borderId="6" xfId="0" applyFont="1" applyFill="1" applyBorder="1" applyAlignment="1">
      <alignment horizontal="center" vertical="center" wrapText="1"/>
    </xf>
    <xf numFmtId="1" fontId="32" fillId="39" borderId="6" xfId="0" applyNumberFormat="1" applyFont="1" applyFill="1" applyBorder="1" applyAlignment="1">
      <alignment horizontal="center" vertical="center" wrapText="1"/>
    </xf>
    <xf numFmtId="0" fontId="29" fillId="32" borderId="7" xfId="0" applyFont="1" applyFill="1" applyBorder="1" applyAlignment="1">
      <alignment horizontal="center" vertical="center" wrapText="1"/>
    </xf>
    <xf numFmtId="0" fontId="33" fillId="39" borderId="11" xfId="0" applyFont="1" applyFill="1" applyBorder="1" applyAlignment="1">
      <alignment horizontal="center" vertical="center"/>
    </xf>
    <xf numFmtId="0" fontId="33" fillId="39" borderId="12" xfId="0" applyFont="1" applyFill="1" applyBorder="1" applyAlignment="1">
      <alignment horizontal="center" vertical="center"/>
    </xf>
    <xf numFmtId="0" fontId="33" fillId="39" borderId="13" xfId="0" applyFont="1" applyFill="1" applyBorder="1" applyAlignment="1">
      <alignment horizontal="center" vertical="center"/>
    </xf>
    <xf numFmtId="0" fontId="29" fillId="32" borderId="5" xfId="0" applyFont="1" applyFill="1" applyBorder="1" applyAlignment="1">
      <alignment vertical="center" wrapText="1"/>
    </xf>
    <xf numFmtId="0" fontId="32" fillId="39" borderId="5" xfId="0" applyFont="1" applyFill="1" applyBorder="1" applyAlignment="1">
      <alignment horizontal="center" vertical="center" wrapText="1"/>
    </xf>
    <xf numFmtId="0" fontId="29" fillId="32" borderId="6" xfId="0" applyFont="1" applyFill="1" applyBorder="1" applyAlignment="1">
      <alignment vertical="center" wrapText="1"/>
    </xf>
    <xf numFmtId="0" fontId="32" fillId="39" borderId="6" xfId="0" applyFont="1" applyFill="1" applyBorder="1" applyAlignment="1">
      <alignment horizontal="center" vertical="center" wrapText="1"/>
    </xf>
    <xf numFmtId="0" fontId="29" fillId="32" borderId="7" xfId="0" applyFont="1" applyFill="1" applyBorder="1" applyAlignment="1">
      <alignment vertical="center" wrapText="1"/>
    </xf>
    <xf numFmtId="0" fontId="32" fillId="39" borderId="7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vertical="center" wrapText="1"/>
    </xf>
    <xf numFmtId="0" fontId="32" fillId="39" borderId="5" xfId="0" applyFont="1" applyFill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32" fillId="39" borderId="6" xfId="0" applyFont="1" applyFill="1" applyBorder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32" fillId="39" borderId="7" xfId="0" applyFont="1" applyFill="1" applyBorder="1" applyAlignment="1">
      <alignment vertical="center" wrapText="1"/>
    </xf>
    <xf numFmtId="0" fontId="34" fillId="35" borderId="0" xfId="0" applyFont="1" applyFill="1" applyAlignment="1">
      <alignment vertical="center"/>
    </xf>
    <xf numFmtId="0" fontId="35" fillId="40" borderId="0" xfId="0" applyFont="1" applyFill="1" applyAlignment="1">
      <alignment horizontal="center" vertical="center"/>
    </xf>
    <xf numFmtId="0" fontId="36" fillId="39" borderId="0" xfId="0" applyFont="1" applyFill="1" applyAlignment="1">
      <alignment horizontal="center" vertical="center"/>
    </xf>
    <xf numFmtId="165" fontId="30" fillId="33" borderId="10" xfId="0" applyNumberFormat="1" applyFont="1" applyFill="1" applyBorder="1" applyAlignment="1">
      <alignment horizontal="center" vertical="center" wrapText="1"/>
    </xf>
    <xf numFmtId="165" fontId="37" fillId="40" borderId="10" xfId="0" applyNumberFormat="1" applyFont="1" applyFill="1" applyBorder="1" applyAlignment="1">
      <alignment horizontal="center" vertical="center" wrapText="1"/>
    </xf>
    <xf numFmtId="165" fontId="30" fillId="34" borderId="9" xfId="0" applyNumberFormat="1" applyFont="1" applyFill="1" applyBorder="1" applyAlignment="1">
      <alignment horizontal="center" vertical="center" wrapText="1"/>
    </xf>
    <xf numFmtId="0" fontId="1" fillId="0" borderId="0" xfId="2"/>
    <xf numFmtId="0" fontId="1" fillId="0" borderId="14" xfId="2" applyBorder="1" applyAlignment="1">
      <alignment horizontal="left" vertical="top" wrapText="1"/>
    </xf>
    <xf numFmtId="0" fontId="1" fillId="41" borderId="14" xfId="2" applyFill="1" applyBorder="1" applyAlignment="1">
      <alignment horizontal="center" vertical="center" wrapText="1"/>
    </xf>
    <xf numFmtId="0" fontId="1" fillId="25" borderId="14" xfId="2" applyFill="1" applyBorder="1" applyAlignment="1">
      <alignment horizontal="center" vertical="center" wrapText="1"/>
    </xf>
    <xf numFmtId="0" fontId="1" fillId="42" borderId="14" xfId="2" applyFill="1" applyBorder="1" applyAlignment="1">
      <alignment horizontal="center" vertical="center" wrapText="1"/>
    </xf>
    <xf numFmtId="0" fontId="1" fillId="0" borderId="14" xfId="2" applyBorder="1" applyAlignment="1">
      <alignment horizontal="center" vertical="center" wrapText="1"/>
    </xf>
    <xf numFmtId="0" fontId="1" fillId="26" borderId="14" xfId="2" applyFill="1" applyBorder="1" applyAlignment="1">
      <alignment horizontal="center" vertical="center" wrapText="1"/>
    </xf>
    <xf numFmtId="0" fontId="1" fillId="27" borderId="14" xfId="2" applyFill="1" applyBorder="1" applyAlignment="1">
      <alignment horizontal="center" vertical="center" wrapText="1"/>
    </xf>
    <xf numFmtId="0" fontId="14" fillId="43" borderId="14" xfId="2" applyFont="1" applyFill="1" applyBorder="1" applyAlignment="1">
      <alignment horizontal="center" vertical="center" wrapText="1"/>
    </xf>
    <xf numFmtId="0" fontId="25" fillId="31" borderId="0" xfId="1" applyFont="1" applyFill="1" applyAlignment="1">
      <alignment vertical="center"/>
    </xf>
    <xf numFmtId="0" fontId="0" fillId="0" borderId="0" xfId="0"/>
    <xf numFmtId="0" fontId="29" fillId="32" borderId="6" xfId="1" applyFont="1" applyFill="1" applyBorder="1" applyAlignment="1">
      <alignment vertical="center" wrapText="1"/>
    </xf>
    <xf numFmtId="0" fontId="0" fillId="0" borderId="6" xfId="0" applyBorder="1"/>
    <xf numFmtId="0" fontId="29" fillId="32" borderId="7" xfId="1" applyFont="1" applyFill="1" applyBorder="1" applyAlignment="1">
      <alignment vertical="center" wrapText="1"/>
    </xf>
    <xf numFmtId="0" fontId="0" fillId="0" borderId="7" xfId="0" applyBorder="1"/>
    <xf numFmtId="0" fontId="28" fillId="0" borderId="6" xfId="1" applyFont="1" applyBorder="1" applyAlignment="1">
      <alignment vertical="center" wrapText="1"/>
    </xf>
    <xf numFmtId="0" fontId="27" fillId="33" borderId="0" xfId="1" applyFont="1" applyFill="1"/>
    <xf numFmtId="0" fontId="28" fillId="0" borderId="7" xfId="1" applyFont="1" applyBorder="1" applyAlignment="1">
      <alignment vertical="center" wrapText="1"/>
    </xf>
    <xf numFmtId="0" fontId="28" fillId="0" borderId="5" xfId="1" applyFont="1" applyBorder="1" applyAlignment="1">
      <alignment vertical="center" wrapText="1"/>
    </xf>
    <xf numFmtId="0" fontId="0" fillId="0" borderId="5" xfId="0" applyBorder="1"/>
    <xf numFmtId="0" fontId="27" fillId="34" borderId="0" xfId="1" applyFont="1" applyFill="1"/>
    <xf numFmtId="0" fontId="29" fillId="32" borderId="5" xfId="1" applyFont="1" applyFill="1" applyBorder="1" applyAlignment="1">
      <alignment vertical="center" wrapText="1"/>
    </xf>
    <xf numFmtId="0" fontId="16" fillId="29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3" fillId="17" borderId="0" xfId="0" applyFont="1" applyFill="1" applyAlignment="1">
      <alignment horizontal="center" vertical="center" wrapText="1"/>
    </xf>
    <xf numFmtId="0" fontId="16" fillId="28" borderId="2" xfId="0" applyFont="1" applyFill="1" applyBorder="1" applyAlignment="1">
      <alignment horizontal="center" vertical="center" wrapText="1"/>
    </xf>
    <xf numFmtId="0" fontId="16" fillId="25" borderId="2" xfId="0" applyFont="1" applyFill="1" applyBorder="1" applyAlignment="1">
      <alignment horizontal="center" vertical="center" wrapText="1"/>
    </xf>
    <xf numFmtId="0" fontId="16" fillId="27" borderId="2" xfId="0" applyFont="1" applyFill="1" applyBorder="1" applyAlignment="1">
      <alignment horizontal="center" vertical="center" wrapText="1"/>
    </xf>
    <xf numFmtId="0" fontId="16" fillId="24" borderId="2" xfId="0" applyFont="1" applyFill="1" applyBorder="1" applyAlignment="1">
      <alignment horizontal="center" vertical="center" wrapText="1"/>
    </xf>
    <xf numFmtId="0" fontId="16" fillId="23" borderId="2" xfId="0" applyFont="1" applyFill="1" applyBorder="1" applyAlignment="1">
      <alignment horizontal="center" vertical="center" wrapText="1"/>
    </xf>
    <xf numFmtId="0" fontId="16" fillId="26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30" borderId="2" xfId="0" applyFont="1" applyFill="1" applyBorder="1" applyAlignment="1">
      <alignment horizontal="center" vertical="center" wrapText="1"/>
    </xf>
    <xf numFmtId="0" fontId="17" fillId="30" borderId="2" xfId="0" applyFont="1" applyFill="1" applyBorder="1" applyAlignment="1">
      <alignment horizontal="center" vertical="center" wrapText="1"/>
    </xf>
    <xf numFmtId="0" fontId="13" fillId="17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5" fillId="31" borderId="0" xfId="0" applyFont="1" applyFill="1" applyAlignment="1">
      <alignment vertical="center"/>
    </xf>
    <xf numFmtId="0" fontId="26" fillId="32" borderId="0" xfId="0" applyFont="1" applyFill="1" applyAlignment="1">
      <alignment vertical="center"/>
    </xf>
    <xf numFmtId="0" fontId="34" fillId="35" borderId="0" xfId="0" applyFont="1" applyFill="1" applyAlignment="1">
      <alignment vertical="center"/>
    </xf>
    <xf numFmtId="0" fontId="38" fillId="0" borderId="15" xfId="2" applyFont="1" applyBorder="1" applyAlignment="1">
      <alignment horizontal="left" vertical="center"/>
    </xf>
    <xf numFmtId="0" fontId="39" fillId="0" borderId="0" xfId="2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489B8556-94A2-4392-9F08-BC4DB8DE5AD4}"/>
  </cellStyles>
  <dxfs count="16">
    <dxf>
      <font>
        <b/>
        <color rgb="FFFFFFFF"/>
      </font>
      <fill>
        <patternFill patternType="solid">
          <bgColor rgb="FF117C74"/>
        </patternFill>
      </fill>
    </dxf>
    <dxf>
      <font>
        <color rgb="FF63778A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FFFFFF"/>
      </font>
      <fill>
        <patternFill patternType="solid">
          <bgColor rgb="FF117C74"/>
        </patternFill>
      </fill>
    </dxf>
    <dxf>
      <font>
        <b/>
        <color rgb="FFFFFFFF"/>
      </font>
      <fill>
        <patternFill patternType="solid">
          <bgColor rgb="FF117C74"/>
        </patternFill>
      </fill>
    </dxf>
    <dxf>
      <font>
        <color rgb="FF63778A"/>
      </font>
      <fill>
        <patternFill patternType="solid">
          <bgColor rgb="FFE7E6E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3778A"/>
      </font>
      <fill>
        <patternFill patternType="solid">
          <bgColor rgb="FFE7E6E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375623"/>
      <rgbColor rgb="FF000080"/>
      <rgbColor rgb="FF7F6000"/>
      <rgbColor rgb="FF800080"/>
      <rgbColor rgb="FF008080"/>
      <rgbColor rgb="FFBFBFBF"/>
      <rgbColor rgb="FF808080"/>
      <rgbColor rgb="FFD0E0E3"/>
      <rgbColor rgb="FF993366"/>
      <rgbColor rgb="FFFFF2CC"/>
      <rgbColor rgb="FFDCEAF7"/>
      <rgbColor rgb="FF660066"/>
      <rgbColor rgb="FFFF8080"/>
      <rgbColor rgb="FF24577F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EAD3"/>
      <rgbColor rgb="FFFFE699"/>
      <rgbColor rgb="FFCCD7E2"/>
      <rgbColor rgb="FFEAD1DC"/>
      <rgbColor rgb="FFD9D9D9"/>
      <rgbColor rgb="FFF4CCCC"/>
      <rgbColor rgb="FF3366FF"/>
      <rgbColor rgb="FF33CCCC"/>
      <rgbColor rgb="FF99CC00"/>
      <rgbColor rgb="FFFCE5CD"/>
      <rgbColor rgb="FFFF9900"/>
      <rgbColor rgb="FFFF6600"/>
      <rgbColor rgb="FF595959"/>
      <rgbColor rgb="FFC6E0B4"/>
      <rgbColor rgb="FF17324D"/>
      <rgbColor rgb="FF339966"/>
      <rgbColor rgb="FF1F3864"/>
      <rgbColor rgb="FF404040"/>
      <rgbColor rgb="FF993300"/>
      <rgbColor rgb="FF993366"/>
      <rgbColor rgb="FF203764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eampierre\Desktop\analisis\cambios%20clase.xlsx" TargetMode="External"/><Relationship Id="rId1" Type="http://schemas.openxmlformats.org/officeDocument/2006/relationships/externalLinkPath" Target="analisis/cambios%20cl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istorias de Usuario"/>
      <sheetName val="Criterios Aceptacion"/>
      <sheetName val="Backlog Priorizado"/>
      <sheetName val="Plan de Sprints"/>
      <sheetName val="Flujos Financieros"/>
      <sheetName val="Matriz de Accesos"/>
      <sheetName val="Equipo y Roles"/>
      <sheetName val="Gantt 18 Semanas"/>
      <sheetName val="Plan de Gestión de Riesgos"/>
    </sheetNames>
    <sheetDataSet>
      <sheetData sheetId="0" refreshError="1"/>
      <sheetData sheetId="1" refreshError="1"/>
      <sheetData sheetId="2" refreshError="1"/>
      <sheetData sheetId="3">
        <row r="4">
          <cell r="G4" t="str">
            <v>Sí</v>
          </cell>
        </row>
        <row r="5">
          <cell r="G5" t="str">
            <v>Sí</v>
          </cell>
        </row>
        <row r="6">
          <cell r="G6" t="str">
            <v>Sí</v>
          </cell>
        </row>
        <row r="7">
          <cell r="G7" t="str">
            <v>Sí</v>
          </cell>
        </row>
        <row r="8">
          <cell r="G8" t="str">
            <v>Sí</v>
          </cell>
        </row>
        <row r="9">
          <cell r="G9" t="str">
            <v>Sí</v>
          </cell>
        </row>
        <row r="10">
          <cell r="G10" t="str">
            <v>Sí</v>
          </cell>
        </row>
        <row r="11">
          <cell r="G11" t="str">
            <v>Sí</v>
          </cell>
        </row>
        <row r="12">
          <cell r="G12" t="str">
            <v>Sí</v>
          </cell>
        </row>
        <row r="13">
          <cell r="G13" t="str">
            <v>Sí</v>
          </cell>
        </row>
        <row r="14">
          <cell r="G14" t="str">
            <v>Sí</v>
          </cell>
        </row>
        <row r="15">
          <cell r="G15" t="str">
            <v>Sí</v>
          </cell>
        </row>
        <row r="16">
          <cell r="G16" t="str">
            <v>Sí</v>
          </cell>
        </row>
        <row r="17">
          <cell r="G17" t="str">
            <v>Sí</v>
          </cell>
        </row>
        <row r="18">
          <cell r="G18" t="str">
            <v>Sí</v>
          </cell>
        </row>
        <row r="19">
          <cell r="G19" t="str">
            <v>Sí</v>
          </cell>
        </row>
        <row r="20">
          <cell r="G20" t="str">
            <v>Sí</v>
          </cell>
        </row>
        <row r="21">
          <cell r="G21" t="str">
            <v>Sí</v>
          </cell>
        </row>
        <row r="22">
          <cell r="G22" t="str">
            <v>Sí</v>
          </cell>
        </row>
        <row r="23">
          <cell r="G23" t="str">
            <v>Sí</v>
          </cell>
        </row>
        <row r="24">
          <cell r="G24" t="str">
            <v>Sí</v>
          </cell>
        </row>
        <row r="25">
          <cell r="G25" t="str">
            <v>Sí</v>
          </cell>
        </row>
        <row r="26">
          <cell r="G26" t="str">
            <v>No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Table" displayName="BacklogTable" ref="A3:J26" totalsRowShown="0">
  <tableColumns count="10">
    <tableColumn id="1" xr3:uid="{00000000-0010-0000-0000-000001000000}" name="Orden"/>
    <tableColumn id="2" xr3:uid="{00000000-0010-0000-0000-000002000000}" name="ID"/>
    <tableColumn id="3" xr3:uid="{00000000-0010-0000-0000-000003000000}" name="Épica"/>
    <tableColumn id="4" xr3:uid="{00000000-0010-0000-0000-000004000000}" name="Historia de Usuario"/>
    <tableColumn id="5" xr3:uid="{00000000-0010-0000-0000-000005000000}" name="Prioridad"/>
    <tableColumn id="6" xr3:uid="{00000000-0010-0000-0000-000006000000}" name="Story Points"/>
    <tableColumn id="7" xr3:uid="{00000000-0010-0000-0000-000007000000}" name="En MVP"/>
    <tableColumn id="8" xr3:uid="{00000000-0010-0000-0000-000008000000}" name="Sprint"/>
    <tableColumn id="9" xr3:uid="{00000000-0010-0000-0000-000009000000}" name="Dependencia"/>
    <tableColumn id="10" xr3:uid="{00000000-0010-0000-0000-00000A000000}" name="Módul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7DFA5-13BE-4A69-A5B4-D2B0805C7C7E}" name="FlujosTable" displayName="FlujosTable" ref="A3:H18" totalsRowShown="0">
  <tableColumns count="8">
    <tableColumn id="1" xr3:uid="{005F4D49-611E-4CB0-9ECD-BC0D8EAAEEFE}" name="Operación"/>
    <tableColumn id="2" xr3:uid="{F8953154-928E-4A40-95BA-5468E76AE773}" name="Etapa"/>
    <tableColumn id="3" xr3:uid="{016113E2-71B5-456A-901C-67620858BF39}" name="Responsable"/>
    <tableColumn id="4" xr3:uid="{F8526036-DEEA-448C-8470-73B81E2F0C2E}" name="Qué ocurre"/>
    <tableColumn id="5" xr3:uid="{8C92786D-03C3-49E7-ADAA-8C394EE1B951}" name="Estado"/>
    <tableColumn id="6" xr3:uid="{0242A4F7-38E2-42A3-ADD6-6E86CF7C8740}" name="Control principal"/>
    <tableColumn id="7" xr3:uid="{DDDFDE2D-9330-4F13-9EAC-9EA0E493C9E2}" name="Efecto en el dinero"/>
    <tableColumn id="8" xr3:uid="{F0418404-1CEE-4C77-BFA2-AB4253D7744C}" name="Quién lo visualiz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1D67D-CA8C-43AA-853F-0DA8429F4C19}" name="AccesosTable" displayName="AccesosTable" ref="A3:I12" totalsRowShown="0">
  <tableColumns count="9">
    <tableColumn id="1" xr3:uid="{370ECD30-0726-4B6A-8690-8BCBBA00B4D8}" name="Rol"/>
    <tableColumn id="2" xr3:uid="{575B3966-E8B2-48D0-BDBE-E25514B92A78}" name="Saldos"/>
    <tableColumn id="3" xr3:uid="{9D60FD06-C2C5-4C90-89D5-7D90A90EE8D4}" name="Transferencias"/>
    <tableColumn id="4" xr3:uid="{04725EFE-5810-4932-81B4-21470D5EE80A}" name="Préstamos"/>
    <tableColumn id="5" xr3:uid="{2A8E839D-97C3-4177-97C3-9AE136F499D7}" name="Conciliación"/>
    <tableColumn id="6" xr3:uid="{D822ED9E-D26E-4A10-ACAC-8A33CC6575AC}" name="Datos personales"/>
    <tableColumn id="7" xr3:uid="{8A9A2939-BE09-4FE7-BB12-CAE8B237BAEC}" name="Usuarios/permisos"/>
    <tableColumn id="8" xr3:uid="{EC1EAB56-1715-4C67-9FA0-F00EC77C2954}" name="Auditoría"/>
    <tableColumn id="9" xr3:uid="{DEA5248D-7593-410E-BC87-A17C719544C9}" name="Alcance / restric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746234-170A-4223-B01B-4A961A9D4734}" name="EquipoTable" displayName="EquipoTable" ref="A3:I9" totalsRowShown="0">
  <tableColumns count="9">
    <tableColumn id="1" xr3:uid="{A6AA90B1-A496-4151-A27E-1368BD384775}" name="N.°"/>
    <tableColumn id="2" xr3:uid="{4B689128-ADD7-4E5E-A84F-FE5C82BBDC0D}" name="Integrante"/>
    <tableColumn id="3" xr3:uid="{6413EAC2-F2BE-46BE-A729-9D1FE0B2E716}" name="Rol"/>
    <tableColumn id="4" xr3:uid="{B90F5DAD-5283-4A0D-8B93-0988FFAE944F}" name="Especialidad"/>
    <tableColumn id="5" xr3:uid="{496A10C9-5F5B-49B8-9541-3ADF475AFB4F}" name="Responsabilidades principales"/>
    <tableColumn id="6" xr3:uid="{859FEBF2-B0F0-440C-B9C9-C8FEE6A508C5}" name="Lidera"/>
    <tableColumn id="7" xr3:uid="{595CFC51-0167-4872-8AE3-464176897AB5}" name="Apoya"/>
    <tableColumn id="8" xr3:uid="{3FF5FE21-FF23-4230-AB0B-40B9EABC927D}" name="Participación"/>
    <tableColumn id="9" xr3:uid="{9FB42D82-B2C4-44D7-BD83-2110CDAADDBE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activeCell="B15" sqref="B15"/>
    </sheetView>
  </sheetViews>
  <sheetFormatPr baseColWidth="10" defaultRowHeight="15"/>
  <cols>
    <col min="1" max="1" width="29.28515625" style="29" customWidth="1"/>
    <col min="2" max="2" width="17.5703125" style="29" customWidth="1"/>
    <col min="4" max="4" width="19.7109375" style="29" customWidth="1"/>
    <col min="5" max="5" width="18.5703125" style="29" customWidth="1"/>
    <col min="6" max="6" width="16.85546875" style="29" customWidth="1"/>
    <col min="7" max="7" width="20.28515625" style="29" customWidth="1"/>
    <col min="8" max="8" width="20.7109375" style="29" customWidth="1"/>
  </cols>
  <sheetData>
    <row r="1" spans="1:8" ht="23.25" customHeight="1">
      <c r="A1" s="96" t="s">
        <v>0</v>
      </c>
      <c r="B1" s="97"/>
      <c r="C1" s="97"/>
      <c r="D1" s="97"/>
      <c r="E1" s="97"/>
      <c r="F1" s="97"/>
      <c r="G1" s="97"/>
      <c r="H1" s="97"/>
    </row>
    <row r="4" spans="1:8">
      <c r="A4" s="103" t="s">
        <v>1</v>
      </c>
      <c r="B4" s="97"/>
      <c r="C4" s="97"/>
      <c r="D4" s="97"/>
      <c r="E4" s="97"/>
      <c r="F4" s="97"/>
      <c r="G4" s="97"/>
      <c r="H4" s="97"/>
    </row>
    <row r="5" spans="1:8" ht="45.75" customHeight="1">
      <c r="A5" s="108" t="s">
        <v>2</v>
      </c>
      <c r="B5" s="106"/>
      <c r="C5" s="105" t="s">
        <v>3</v>
      </c>
      <c r="D5" s="106"/>
      <c r="E5" s="106"/>
      <c r="F5" s="106"/>
      <c r="G5" s="106"/>
      <c r="H5" s="106"/>
    </row>
    <row r="6" spans="1:8" ht="29.25" customHeight="1">
      <c r="A6" s="98" t="s">
        <v>4</v>
      </c>
      <c r="B6" s="99"/>
      <c r="C6" s="102" t="s">
        <v>5</v>
      </c>
      <c r="D6" s="99"/>
      <c r="E6" s="99"/>
      <c r="F6" s="99"/>
      <c r="G6" s="99"/>
      <c r="H6" s="99"/>
    </row>
    <row r="7" spans="1:8" ht="33" customHeight="1">
      <c r="A7" s="98" t="s">
        <v>6</v>
      </c>
      <c r="B7" s="99"/>
      <c r="C7" s="102" t="s">
        <v>7</v>
      </c>
      <c r="D7" s="99"/>
      <c r="E7" s="99"/>
      <c r="F7" s="99"/>
      <c r="G7" s="99"/>
      <c r="H7" s="99"/>
    </row>
    <row r="8" spans="1:8" ht="33.75" customHeight="1">
      <c r="A8" s="100" t="s">
        <v>8</v>
      </c>
      <c r="B8" s="101"/>
      <c r="C8" s="104" t="s">
        <v>9</v>
      </c>
      <c r="D8" s="101"/>
      <c r="E8" s="101"/>
      <c r="F8" s="101"/>
      <c r="G8" s="101"/>
      <c r="H8" s="101"/>
    </row>
    <row r="10" spans="1:8" ht="19.5" customHeight="1"/>
    <row r="11" spans="1:8" ht="46.5" customHeight="1">
      <c r="A11" s="33" t="s">
        <v>10</v>
      </c>
      <c r="B11" s="34" t="s">
        <v>11</v>
      </c>
      <c r="D11" s="107" t="s">
        <v>12</v>
      </c>
      <c r="E11" s="97"/>
      <c r="F11" s="97"/>
      <c r="G11" s="97"/>
      <c r="H11" s="97"/>
    </row>
    <row r="12" spans="1:8" ht="36.75" customHeight="1">
      <c r="A12" s="30" t="s">
        <v>13</v>
      </c>
      <c r="B12" s="38">
        <f>COUNTA('Historias de Usuario'!$C$4:$C$29)</f>
        <v>26</v>
      </c>
      <c r="D12" s="35" t="s">
        <v>14</v>
      </c>
      <c r="E12" s="105" t="s">
        <v>15</v>
      </c>
      <c r="F12" s="106"/>
      <c r="G12" s="106"/>
      <c r="H12" s="106"/>
    </row>
    <row r="13" spans="1:8" ht="36" customHeight="1">
      <c r="A13" s="31" t="s">
        <v>16</v>
      </c>
      <c r="B13" s="38">
        <f>COUNTIF('Historias de Usuario'!$H$4:$H$32,"Must")</f>
        <v>17</v>
      </c>
      <c r="D13" s="36" t="s">
        <v>17</v>
      </c>
      <c r="E13" s="102" t="s">
        <v>18</v>
      </c>
      <c r="F13" s="99"/>
      <c r="G13" s="99"/>
      <c r="H13" s="99"/>
    </row>
    <row r="14" spans="1:8" ht="36" customHeight="1">
      <c r="A14" s="31" t="s">
        <v>19</v>
      </c>
      <c r="B14" s="38">
        <f>COUNTIF('Historias de Usuario'!$J$4:$J$32,"Sí")</f>
        <v>24</v>
      </c>
      <c r="D14" s="36" t="s">
        <v>20</v>
      </c>
      <c r="E14" s="102" t="s">
        <v>21</v>
      </c>
      <c r="F14" s="99"/>
      <c r="G14" s="99"/>
      <c r="H14" s="99"/>
    </row>
    <row r="15" spans="1:8" ht="36" customHeight="1">
      <c r="A15" s="31" t="s">
        <v>22</v>
      </c>
      <c r="B15" s="38">
        <f>SUMIF('Historias de Usuario'!J4:J29,"Sí",'Historias de Usuario'!I4:I29)</f>
        <v>160</v>
      </c>
      <c r="D15" s="36" t="s">
        <v>23</v>
      </c>
      <c r="E15" s="102" t="s">
        <v>24</v>
      </c>
      <c r="F15" s="99"/>
      <c r="G15" s="99"/>
      <c r="H15" s="99"/>
    </row>
    <row r="16" spans="1:8" ht="36" customHeight="1">
      <c r="A16" s="31" t="s">
        <v>25</v>
      </c>
      <c r="B16" s="38">
        <v>4</v>
      </c>
      <c r="D16" s="36" t="s">
        <v>26</v>
      </c>
      <c r="E16" s="102" t="s">
        <v>27</v>
      </c>
      <c r="F16" s="99"/>
      <c r="G16" s="99"/>
      <c r="H16" s="99"/>
    </row>
    <row r="17" spans="1:8" ht="36" customHeight="1">
      <c r="A17" s="32" t="s">
        <v>28</v>
      </c>
      <c r="B17" s="38">
        <v>7</v>
      </c>
      <c r="D17" s="37" t="s">
        <v>29</v>
      </c>
      <c r="E17" s="104" t="s">
        <v>30</v>
      </c>
      <c r="F17" s="101"/>
      <c r="G17" s="101"/>
      <c r="H17" s="101"/>
    </row>
  </sheetData>
  <mergeCells count="17">
    <mergeCell ref="E14:H14"/>
    <mergeCell ref="A4:H4"/>
    <mergeCell ref="C6:H6"/>
    <mergeCell ref="E17:H17"/>
    <mergeCell ref="A7:B7"/>
    <mergeCell ref="C5:H5"/>
    <mergeCell ref="E12:H12"/>
    <mergeCell ref="D11:H11"/>
    <mergeCell ref="A5:B5"/>
    <mergeCell ref="E16:H16"/>
    <mergeCell ref="C8:H8"/>
    <mergeCell ref="E15:H15"/>
    <mergeCell ref="A1:H1"/>
    <mergeCell ref="A6:B6"/>
    <mergeCell ref="A8:B8"/>
    <mergeCell ref="C7:H7"/>
    <mergeCell ref="E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opLeftCell="A25" zoomScaleNormal="100" workbookViewId="0">
      <selection activeCell="A4" sqref="A4:H29"/>
    </sheetView>
  </sheetViews>
  <sheetFormatPr baseColWidth="10" defaultColWidth="8.5703125" defaultRowHeight="15"/>
  <cols>
    <col min="1" max="1" width="19" style="29" customWidth="1"/>
    <col min="2" max="2" width="15.85546875" style="29" customWidth="1"/>
    <col min="3" max="3" width="12" style="29" customWidth="1"/>
    <col min="4" max="4" width="28" style="29" customWidth="1"/>
    <col min="5" max="5" width="0.140625" style="29" hidden="1" customWidth="1"/>
    <col min="6" max="6" width="46" style="29" customWidth="1"/>
    <col min="7" max="7" width="75" style="29" customWidth="1"/>
    <col min="8" max="8" width="16" style="29" customWidth="1"/>
    <col min="9" max="9" width="14" style="29" customWidth="1"/>
    <col min="10" max="10" width="12" style="29" customWidth="1"/>
  </cols>
  <sheetData>
    <row r="1" spans="1:10" ht="31.9" customHeight="1">
      <c r="A1" s="112" t="s">
        <v>31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10.15" customHeight="1"/>
    <row r="3" spans="1:10" ht="28.15" customHeight="1">
      <c r="A3" s="8" t="s">
        <v>32</v>
      </c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</row>
    <row r="4" spans="1:10" ht="108.95" customHeight="1">
      <c r="A4" s="9" t="s">
        <v>42</v>
      </c>
      <c r="B4" s="116" t="s">
        <v>43</v>
      </c>
      <c r="C4" s="10" t="s">
        <v>44</v>
      </c>
      <c r="D4" s="9" t="s">
        <v>45</v>
      </c>
      <c r="E4" s="10" t="s">
        <v>46</v>
      </c>
      <c r="F4" s="11" t="s">
        <v>47</v>
      </c>
      <c r="G4" s="12" t="s">
        <v>48</v>
      </c>
      <c r="H4" s="13" t="s">
        <v>49</v>
      </c>
      <c r="I4" s="9">
        <v>8</v>
      </c>
      <c r="J4" s="14" t="s">
        <v>50</v>
      </c>
    </row>
    <row r="5" spans="1:10" ht="108.95" customHeight="1">
      <c r="A5" s="9" t="s">
        <v>51</v>
      </c>
      <c r="B5" s="110"/>
      <c r="C5" s="10" t="s">
        <v>44</v>
      </c>
      <c r="D5" s="9" t="s">
        <v>52</v>
      </c>
      <c r="E5" s="10" t="s">
        <v>46</v>
      </c>
      <c r="F5" s="11" t="s">
        <v>53</v>
      </c>
      <c r="G5" s="12" t="s">
        <v>54</v>
      </c>
      <c r="H5" s="13" t="s">
        <v>49</v>
      </c>
      <c r="I5" s="9">
        <v>3</v>
      </c>
      <c r="J5" s="14" t="s">
        <v>50</v>
      </c>
    </row>
    <row r="6" spans="1:10" ht="108.95" customHeight="1">
      <c r="A6" s="9" t="s">
        <v>55</v>
      </c>
      <c r="B6" s="110"/>
      <c r="C6" s="10" t="s">
        <v>44</v>
      </c>
      <c r="D6" s="9" t="s">
        <v>56</v>
      </c>
      <c r="E6" s="10" t="s">
        <v>46</v>
      </c>
      <c r="F6" s="11" t="s">
        <v>57</v>
      </c>
      <c r="G6" s="12" t="s">
        <v>58</v>
      </c>
      <c r="H6" s="13" t="s">
        <v>49</v>
      </c>
      <c r="I6" s="9">
        <v>5</v>
      </c>
      <c r="J6" s="14" t="s">
        <v>50</v>
      </c>
    </row>
    <row r="7" spans="1:10" ht="108.95" customHeight="1">
      <c r="A7" s="9" t="s">
        <v>59</v>
      </c>
      <c r="B7" s="111"/>
      <c r="C7" s="10" t="s">
        <v>44</v>
      </c>
      <c r="D7" s="9" t="s">
        <v>60</v>
      </c>
      <c r="E7" s="10" t="s">
        <v>46</v>
      </c>
      <c r="F7" s="11" t="s">
        <v>61</v>
      </c>
      <c r="G7" s="15" t="s">
        <v>62</v>
      </c>
      <c r="H7" s="16" t="s">
        <v>63</v>
      </c>
      <c r="I7" s="9">
        <v>5</v>
      </c>
      <c r="J7" s="14" t="s">
        <v>50</v>
      </c>
    </row>
    <row r="8" spans="1:10" ht="108.95" customHeight="1">
      <c r="A8" s="9" t="s">
        <v>64</v>
      </c>
      <c r="B8" s="114" t="s">
        <v>65</v>
      </c>
      <c r="C8" s="10" t="s">
        <v>44</v>
      </c>
      <c r="D8" s="9" t="s">
        <v>66</v>
      </c>
      <c r="E8" s="10" t="s">
        <v>46</v>
      </c>
      <c r="F8" s="11" t="s">
        <v>67</v>
      </c>
      <c r="G8" s="12" t="s">
        <v>68</v>
      </c>
      <c r="H8" s="13" t="s">
        <v>49</v>
      </c>
      <c r="I8" s="9">
        <v>5</v>
      </c>
      <c r="J8" s="14" t="s">
        <v>50</v>
      </c>
    </row>
    <row r="9" spans="1:10" ht="108.95" customHeight="1">
      <c r="A9" s="9" t="s">
        <v>69</v>
      </c>
      <c r="B9" s="110"/>
      <c r="C9" s="10" t="s">
        <v>44</v>
      </c>
      <c r="D9" s="9" t="s">
        <v>70</v>
      </c>
      <c r="E9" s="10" t="s">
        <v>46</v>
      </c>
      <c r="F9" s="11" t="s">
        <v>71</v>
      </c>
      <c r="G9" s="12" t="s">
        <v>72</v>
      </c>
      <c r="H9" s="13" t="s">
        <v>49</v>
      </c>
      <c r="I9" s="9">
        <v>8</v>
      </c>
      <c r="J9" s="14" t="s">
        <v>50</v>
      </c>
    </row>
    <row r="10" spans="1:10" ht="95.65" customHeight="1">
      <c r="A10" s="9" t="s">
        <v>73</v>
      </c>
      <c r="B10" s="110"/>
      <c r="C10" s="10" t="s">
        <v>74</v>
      </c>
      <c r="D10" s="9" t="s">
        <v>75</v>
      </c>
      <c r="E10" s="10" t="s">
        <v>46</v>
      </c>
      <c r="F10" s="11" t="s">
        <v>76</v>
      </c>
      <c r="G10" s="12" t="s">
        <v>77</v>
      </c>
      <c r="H10" s="13" t="s">
        <v>49</v>
      </c>
      <c r="I10" s="9">
        <v>8</v>
      </c>
      <c r="J10" s="14" t="s">
        <v>50</v>
      </c>
    </row>
    <row r="11" spans="1:10" ht="108.95" customHeight="1">
      <c r="A11" s="9" t="s">
        <v>78</v>
      </c>
      <c r="B11" s="111"/>
      <c r="C11" s="10" t="s">
        <v>74</v>
      </c>
      <c r="D11" s="9" t="s">
        <v>79</v>
      </c>
      <c r="E11" s="10" t="s">
        <v>46</v>
      </c>
      <c r="F11" s="11" t="s">
        <v>80</v>
      </c>
      <c r="G11" s="15" t="s">
        <v>81</v>
      </c>
      <c r="H11" s="16" t="s">
        <v>63</v>
      </c>
      <c r="I11" s="9">
        <v>3</v>
      </c>
      <c r="J11" s="14" t="s">
        <v>50</v>
      </c>
    </row>
    <row r="12" spans="1:10" ht="95.65" customHeight="1">
      <c r="A12" s="9" t="s">
        <v>82</v>
      </c>
      <c r="B12" s="117" t="s">
        <v>83</v>
      </c>
      <c r="C12" s="10" t="s">
        <v>74</v>
      </c>
      <c r="D12" s="9" t="s">
        <v>84</v>
      </c>
      <c r="E12" s="10" t="s">
        <v>46</v>
      </c>
      <c r="F12" s="11" t="s">
        <v>85</v>
      </c>
      <c r="G12" s="15" t="s">
        <v>86</v>
      </c>
      <c r="H12" s="16" t="s">
        <v>63</v>
      </c>
      <c r="I12" s="9">
        <v>5</v>
      </c>
      <c r="J12" s="14" t="s">
        <v>50</v>
      </c>
    </row>
    <row r="13" spans="1:10" ht="108.95" customHeight="1">
      <c r="A13" s="9" t="s">
        <v>87</v>
      </c>
      <c r="B13" s="110"/>
      <c r="C13" s="10" t="s">
        <v>74</v>
      </c>
      <c r="D13" s="9" t="s">
        <v>88</v>
      </c>
      <c r="E13" s="10" t="s">
        <v>46</v>
      </c>
      <c r="F13" s="11" t="s">
        <v>89</v>
      </c>
      <c r="G13" s="12" t="s">
        <v>90</v>
      </c>
      <c r="H13" s="13" t="s">
        <v>49</v>
      </c>
      <c r="I13" s="9">
        <v>8</v>
      </c>
      <c r="J13" s="14" t="s">
        <v>50</v>
      </c>
    </row>
    <row r="14" spans="1:10" ht="95.65" customHeight="1">
      <c r="A14" s="9" t="s">
        <v>91</v>
      </c>
      <c r="B14" s="110"/>
      <c r="C14" s="10" t="s">
        <v>74</v>
      </c>
      <c r="D14" s="9" t="s">
        <v>92</v>
      </c>
      <c r="E14" s="10" t="s">
        <v>46</v>
      </c>
      <c r="F14" s="11" t="s">
        <v>93</v>
      </c>
      <c r="G14" s="12" t="s">
        <v>94</v>
      </c>
      <c r="H14" s="13" t="s">
        <v>49</v>
      </c>
      <c r="I14" s="9">
        <v>8</v>
      </c>
      <c r="J14" s="14" t="s">
        <v>50</v>
      </c>
    </row>
    <row r="15" spans="1:10" ht="108.95" customHeight="1">
      <c r="A15" s="9" t="s">
        <v>95</v>
      </c>
      <c r="B15" s="111"/>
      <c r="C15" s="10" t="s">
        <v>74</v>
      </c>
      <c r="D15" s="9" t="s">
        <v>96</v>
      </c>
      <c r="E15" s="10" t="s">
        <v>46</v>
      </c>
      <c r="F15" s="11" t="s">
        <v>97</v>
      </c>
      <c r="G15" s="12" t="s">
        <v>98</v>
      </c>
      <c r="H15" s="13" t="s">
        <v>49</v>
      </c>
      <c r="I15" s="9">
        <v>5</v>
      </c>
      <c r="J15" s="14" t="s">
        <v>50</v>
      </c>
    </row>
    <row r="16" spans="1:10" ht="108.95" customHeight="1">
      <c r="A16" s="9" t="s">
        <v>99</v>
      </c>
      <c r="B16" s="118" t="s">
        <v>100</v>
      </c>
      <c r="C16" s="10" t="s">
        <v>101</v>
      </c>
      <c r="D16" s="9" t="s">
        <v>102</v>
      </c>
      <c r="E16" s="10" t="s">
        <v>46</v>
      </c>
      <c r="F16" s="11" t="s">
        <v>103</v>
      </c>
      <c r="G16" s="12" t="s">
        <v>104</v>
      </c>
      <c r="H16" s="13" t="s">
        <v>49</v>
      </c>
      <c r="I16" s="9">
        <v>8</v>
      </c>
      <c r="J16" s="14" t="s">
        <v>50</v>
      </c>
    </row>
    <row r="17" spans="1:10" ht="82.15" customHeight="1">
      <c r="A17" s="9" t="s">
        <v>105</v>
      </c>
      <c r="B17" s="110"/>
      <c r="C17" s="10" t="s">
        <v>101</v>
      </c>
      <c r="D17" s="9" t="s">
        <v>106</v>
      </c>
      <c r="E17" s="10" t="s">
        <v>107</v>
      </c>
      <c r="F17" s="11" t="s">
        <v>108</v>
      </c>
      <c r="G17" s="12" t="s">
        <v>109</v>
      </c>
      <c r="H17" s="13" t="s">
        <v>49</v>
      </c>
      <c r="I17" s="9">
        <v>5</v>
      </c>
      <c r="J17" s="14" t="s">
        <v>50</v>
      </c>
    </row>
    <row r="18" spans="1:10" ht="95.65" customHeight="1">
      <c r="A18" s="9" t="s">
        <v>110</v>
      </c>
      <c r="B18" s="110"/>
      <c r="C18" s="10" t="s">
        <v>101</v>
      </c>
      <c r="D18" s="9" t="s">
        <v>111</v>
      </c>
      <c r="E18" s="10" t="s">
        <v>46</v>
      </c>
      <c r="F18" s="11" t="s">
        <v>112</v>
      </c>
      <c r="G18" s="12" t="s">
        <v>113</v>
      </c>
      <c r="H18" s="13" t="s">
        <v>49</v>
      </c>
      <c r="I18" s="9">
        <v>5</v>
      </c>
      <c r="J18" s="14" t="s">
        <v>50</v>
      </c>
    </row>
    <row r="19" spans="1:10" ht="108.95" customHeight="1">
      <c r="A19" s="9" t="s">
        <v>114</v>
      </c>
      <c r="B19" s="111"/>
      <c r="C19" s="10" t="s">
        <v>101</v>
      </c>
      <c r="D19" s="9" t="s">
        <v>115</v>
      </c>
      <c r="E19" s="10" t="s">
        <v>46</v>
      </c>
      <c r="F19" s="11" t="s">
        <v>116</v>
      </c>
      <c r="G19" s="15" t="s">
        <v>117</v>
      </c>
      <c r="H19" s="16" t="s">
        <v>63</v>
      </c>
      <c r="I19" s="9">
        <v>5</v>
      </c>
      <c r="J19" s="14" t="s">
        <v>50</v>
      </c>
    </row>
    <row r="20" spans="1:10" ht="95.65" customHeight="1">
      <c r="A20" s="9" t="s">
        <v>118</v>
      </c>
      <c r="B20" s="115" t="s">
        <v>119</v>
      </c>
      <c r="C20" s="10" t="s">
        <v>101</v>
      </c>
      <c r="D20" s="9" t="s">
        <v>120</v>
      </c>
      <c r="E20" s="10" t="s">
        <v>121</v>
      </c>
      <c r="F20" s="11" t="s">
        <v>122</v>
      </c>
      <c r="G20" s="12" t="s">
        <v>123</v>
      </c>
      <c r="H20" s="13" t="s">
        <v>49</v>
      </c>
      <c r="I20" s="9">
        <v>13</v>
      </c>
      <c r="J20" s="14" t="s">
        <v>50</v>
      </c>
    </row>
    <row r="21" spans="1:10" ht="108.95" customHeight="1">
      <c r="A21" s="9" t="s">
        <v>124</v>
      </c>
      <c r="B21" s="110"/>
      <c r="C21" s="10" t="s">
        <v>101</v>
      </c>
      <c r="D21" s="9" t="s">
        <v>125</v>
      </c>
      <c r="E21" s="10" t="s">
        <v>121</v>
      </c>
      <c r="F21" s="11" t="s">
        <v>126</v>
      </c>
      <c r="G21" s="12" t="s">
        <v>127</v>
      </c>
      <c r="H21" s="13" t="s">
        <v>49</v>
      </c>
      <c r="I21" s="9">
        <v>13</v>
      </c>
      <c r="J21" s="14" t="s">
        <v>50</v>
      </c>
    </row>
    <row r="22" spans="1:10" ht="95.65" customHeight="1">
      <c r="A22" s="9" t="s">
        <v>128</v>
      </c>
      <c r="B22" s="111"/>
      <c r="C22" s="10" t="s">
        <v>101</v>
      </c>
      <c r="D22" s="9" t="s">
        <v>129</v>
      </c>
      <c r="E22" s="10" t="s">
        <v>130</v>
      </c>
      <c r="F22" s="11" t="s">
        <v>131</v>
      </c>
      <c r="G22" s="12" t="s">
        <v>132</v>
      </c>
      <c r="H22" s="13" t="s">
        <v>49</v>
      </c>
      <c r="I22" s="9">
        <v>8</v>
      </c>
      <c r="J22" s="14" t="s">
        <v>50</v>
      </c>
    </row>
    <row r="23" spans="1:10" ht="108.95" customHeight="1">
      <c r="A23" s="9" t="s">
        <v>133</v>
      </c>
      <c r="B23" s="113" t="s">
        <v>134</v>
      </c>
      <c r="C23" s="10" t="s">
        <v>135</v>
      </c>
      <c r="D23" s="9" t="s">
        <v>136</v>
      </c>
      <c r="E23" s="10" t="s">
        <v>137</v>
      </c>
      <c r="F23" s="11" t="s">
        <v>138</v>
      </c>
      <c r="G23" s="12" t="s">
        <v>139</v>
      </c>
      <c r="H23" s="13" t="s">
        <v>49</v>
      </c>
      <c r="I23" s="9">
        <v>8</v>
      </c>
      <c r="J23" s="14" t="s">
        <v>50</v>
      </c>
    </row>
    <row r="24" spans="1:10" ht="108.95" customHeight="1">
      <c r="A24" s="9" t="s">
        <v>140</v>
      </c>
      <c r="B24" s="110"/>
      <c r="C24" s="10" t="s">
        <v>135</v>
      </c>
      <c r="D24" s="9" t="s">
        <v>141</v>
      </c>
      <c r="E24" s="10" t="s">
        <v>142</v>
      </c>
      <c r="F24" s="11" t="s">
        <v>143</v>
      </c>
      <c r="G24" s="12" t="s">
        <v>144</v>
      </c>
      <c r="H24" s="13" t="s">
        <v>49</v>
      </c>
      <c r="I24" s="9">
        <v>8</v>
      </c>
      <c r="J24" s="14" t="s">
        <v>50</v>
      </c>
    </row>
    <row r="25" spans="1:10" ht="108.95" customHeight="1">
      <c r="A25" s="9" t="s">
        <v>145</v>
      </c>
      <c r="B25" s="110"/>
      <c r="C25" s="10" t="s">
        <v>135</v>
      </c>
      <c r="D25" s="9" t="s">
        <v>146</v>
      </c>
      <c r="E25" s="10" t="s">
        <v>46</v>
      </c>
      <c r="F25" s="11" t="s">
        <v>147</v>
      </c>
      <c r="G25" s="15" t="s">
        <v>148</v>
      </c>
      <c r="H25" s="16" t="s">
        <v>63</v>
      </c>
      <c r="I25" s="9">
        <v>3</v>
      </c>
      <c r="J25" s="14" t="s">
        <v>50</v>
      </c>
    </row>
    <row r="26" spans="1:10" ht="108.95" customHeight="1">
      <c r="A26" s="9" t="s">
        <v>149</v>
      </c>
      <c r="B26" s="111"/>
      <c r="C26" s="10" t="s">
        <v>135</v>
      </c>
      <c r="D26" s="9" t="s">
        <v>150</v>
      </c>
      <c r="E26" s="10" t="s">
        <v>151</v>
      </c>
      <c r="F26" s="11" t="s">
        <v>152</v>
      </c>
      <c r="G26" s="17" t="s">
        <v>153</v>
      </c>
      <c r="H26" s="18" t="s">
        <v>154</v>
      </c>
      <c r="I26" s="9">
        <v>5</v>
      </c>
      <c r="J26" s="19" t="s">
        <v>155</v>
      </c>
    </row>
    <row r="27" spans="1:10" ht="108.95" customHeight="1">
      <c r="A27" s="9" t="s">
        <v>156</v>
      </c>
      <c r="B27" s="109" t="s">
        <v>157</v>
      </c>
      <c r="C27" s="10" t="s">
        <v>135</v>
      </c>
      <c r="D27" s="9" t="s">
        <v>158</v>
      </c>
      <c r="E27" s="10" t="s">
        <v>46</v>
      </c>
      <c r="F27" s="11" t="s">
        <v>159</v>
      </c>
      <c r="G27" s="15" t="s">
        <v>160</v>
      </c>
      <c r="H27" s="16" t="s">
        <v>63</v>
      </c>
      <c r="I27" s="9">
        <v>5</v>
      </c>
      <c r="J27" s="14" t="s">
        <v>50</v>
      </c>
    </row>
    <row r="28" spans="1:10" ht="95.65" customHeight="1">
      <c r="A28" s="9" t="s">
        <v>161</v>
      </c>
      <c r="B28" s="110"/>
      <c r="C28" s="10" t="s">
        <v>135</v>
      </c>
      <c r="D28" s="9" t="s">
        <v>162</v>
      </c>
      <c r="E28" s="10" t="s">
        <v>46</v>
      </c>
      <c r="F28" s="11" t="s">
        <v>163</v>
      </c>
      <c r="G28" s="15" t="s">
        <v>164</v>
      </c>
      <c r="H28" s="16" t="s">
        <v>63</v>
      </c>
      <c r="I28" s="9">
        <v>8</v>
      </c>
      <c r="J28" s="14" t="s">
        <v>50</v>
      </c>
    </row>
    <row r="29" spans="1:10" ht="95.65" customHeight="1">
      <c r="A29" s="9" t="s">
        <v>165</v>
      </c>
      <c r="B29" s="111"/>
      <c r="C29" s="10" t="s">
        <v>135</v>
      </c>
      <c r="D29" s="9" t="s">
        <v>166</v>
      </c>
      <c r="E29" s="10" t="s">
        <v>46</v>
      </c>
      <c r="F29" s="11" t="s">
        <v>167</v>
      </c>
      <c r="G29" s="17" t="s">
        <v>168</v>
      </c>
      <c r="H29" s="18" t="s">
        <v>154</v>
      </c>
      <c r="I29" s="9">
        <v>8</v>
      </c>
      <c r="J29" s="19" t="s">
        <v>155</v>
      </c>
    </row>
    <row r="35" spans="9:9">
      <c r="I35" s="29">
        <f>SUM(I4:I29)-13</f>
        <v>160</v>
      </c>
    </row>
  </sheetData>
  <mergeCells count="8">
    <mergeCell ref="B27:B29"/>
    <mergeCell ref="A1:J1"/>
    <mergeCell ref="B23:B26"/>
    <mergeCell ref="B8:B11"/>
    <mergeCell ref="B20:B22"/>
    <mergeCell ref="B4:B7"/>
    <mergeCell ref="B12:B15"/>
    <mergeCell ref="B16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7"/>
  <sheetViews>
    <sheetView zoomScaleNormal="100" workbookViewId="0">
      <selection activeCell="A8" sqref="A8:A11"/>
    </sheetView>
  </sheetViews>
  <sheetFormatPr baseColWidth="10" defaultColWidth="10.28515625" defaultRowHeight="15"/>
  <cols>
    <col min="1" max="1" width="10" style="29" customWidth="1"/>
    <col min="2" max="3" width="24" style="29" customWidth="1"/>
    <col min="4" max="4" width="12" style="29" customWidth="1"/>
    <col min="5" max="6" width="40" style="29" customWidth="1"/>
    <col min="7" max="7" width="48" style="29" customWidth="1"/>
    <col min="8" max="9" width="26" style="29" customWidth="1"/>
  </cols>
  <sheetData>
    <row r="1" spans="1:9" ht="23.25" customHeight="1">
      <c r="A1" s="123" t="s">
        <v>184</v>
      </c>
      <c r="B1" s="97"/>
      <c r="C1" s="97"/>
      <c r="D1" s="97"/>
      <c r="E1" s="97"/>
      <c r="F1" s="97"/>
      <c r="G1" s="97"/>
      <c r="H1" s="97"/>
      <c r="I1" s="4"/>
    </row>
    <row r="2" spans="1:9">
      <c r="A2" s="5"/>
      <c r="I2" s="5"/>
    </row>
    <row r="3" spans="1:9" ht="30" customHeight="1">
      <c r="A3" s="8" t="s">
        <v>185</v>
      </c>
      <c r="B3" s="8" t="s">
        <v>186</v>
      </c>
      <c r="C3" s="8" t="s">
        <v>187</v>
      </c>
      <c r="D3" s="8" t="s">
        <v>188</v>
      </c>
      <c r="E3" s="8" t="s">
        <v>189</v>
      </c>
      <c r="F3" s="8" t="s">
        <v>190</v>
      </c>
      <c r="G3" s="8" t="s">
        <v>191</v>
      </c>
      <c r="H3" s="8" t="s">
        <v>192</v>
      </c>
      <c r="I3" s="6"/>
    </row>
    <row r="4" spans="1:9" ht="25.5" customHeight="1">
      <c r="A4" s="119" t="s">
        <v>42</v>
      </c>
      <c r="B4" s="120" t="s">
        <v>45</v>
      </c>
      <c r="C4" s="20" t="s">
        <v>193</v>
      </c>
      <c r="D4" s="21" t="s">
        <v>194</v>
      </c>
      <c r="E4" s="22" t="s">
        <v>195</v>
      </c>
      <c r="F4" s="22" t="s">
        <v>196</v>
      </c>
      <c r="G4" s="22" t="s">
        <v>197</v>
      </c>
      <c r="H4" s="23" t="s">
        <v>198</v>
      </c>
      <c r="I4" s="7"/>
    </row>
    <row r="5" spans="1:9" ht="38.25" customHeight="1">
      <c r="A5" s="110"/>
      <c r="B5" s="110"/>
      <c r="C5" s="20" t="s">
        <v>14</v>
      </c>
      <c r="D5" s="21" t="s">
        <v>199</v>
      </c>
      <c r="E5" s="22" t="s">
        <v>200</v>
      </c>
      <c r="F5" s="22" t="s">
        <v>201</v>
      </c>
      <c r="G5" s="22" t="s">
        <v>202</v>
      </c>
      <c r="H5" s="23" t="s">
        <v>203</v>
      </c>
      <c r="I5" s="7"/>
    </row>
    <row r="6" spans="1:9" ht="25.5" customHeight="1">
      <c r="A6" s="110"/>
      <c r="B6" s="110"/>
      <c r="C6" s="20" t="s">
        <v>204</v>
      </c>
      <c r="D6" s="21" t="s">
        <v>205</v>
      </c>
      <c r="E6" s="22" t="s">
        <v>206</v>
      </c>
      <c r="F6" s="22" t="s">
        <v>207</v>
      </c>
      <c r="G6" s="22" t="s">
        <v>208</v>
      </c>
      <c r="H6" s="23" t="s">
        <v>209</v>
      </c>
      <c r="I6" s="7"/>
    </row>
    <row r="7" spans="1:9" ht="25.5" customHeight="1">
      <c r="A7" s="111"/>
      <c r="B7" s="111"/>
      <c r="C7" s="20" t="s">
        <v>210</v>
      </c>
      <c r="D7" s="21" t="s">
        <v>211</v>
      </c>
      <c r="E7" s="22" t="s">
        <v>212</v>
      </c>
      <c r="F7" s="22" t="s">
        <v>213</v>
      </c>
      <c r="G7" s="22" t="s">
        <v>214</v>
      </c>
      <c r="H7" s="23" t="s">
        <v>215</v>
      </c>
      <c r="I7" s="7"/>
    </row>
    <row r="8" spans="1:9" ht="25.5" customHeight="1">
      <c r="A8" s="119" t="s">
        <v>51</v>
      </c>
      <c r="B8" s="122" t="s">
        <v>216</v>
      </c>
      <c r="C8" s="24" t="s">
        <v>14</v>
      </c>
      <c r="D8" s="25" t="s">
        <v>194</v>
      </c>
      <c r="E8" s="26" t="s">
        <v>217</v>
      </c>
      <c r="F8" s="26" t="s">
        <v>218</v>
      </c>
      <c r="G8" s="26" t="s">
        <v>219</v>
      </c>
      <c r="H8" s="27" t="s">
        <v>220</v>
      </c>
      <c r="I8" s="7"/>
    </row>
    <row r="9" spans="1:9" ht="25.5" customHeight="1">
      <c r="A9" s="110"/>
      <c r="B9" s="110"/>
      <c r="C9" s="24" t="s">
        <v>14</v>
      </c>
      <c r="D9" s="25" t="s">
        <v>199</v>
      </c>
      <c r="E9" s="26" t="s">
        <v>221</v>
      </c>
      <c r="F9" s="26" t="s">
        <v>222</v>
      </c>
      <c r="G9" s="26" t="s">
        <v>223</v>
      </c>
      <c r="H9" s="27" t="s">
        <v>224</v>
      </c>
      <c r="I9" s="7"/>
    </row>
    <row r="10" spans="1:9" ht="25.5" customHeight="1">
      <c r="A10" s="110"/>
      <c r="B10" s="110"/>
      <c r="C10" s="24" t="s">
        <v>225</v>
      </c>
      <c r="D10" s="25" t="s">
        <v>205</v>
      </c>
      <c r="E10" s="26" t="s">
        <v>226</v>
      </c>
      <c r="F10" s="26" t="s">
        <v>227</v>
      </c>
      <c r="G10" s="26" t="s">
        <v>228</v>
      </c>
      <c r="H10" s="27" t="s">
        <v>229</v>
      </c>
      <c r="I10" s="7"/>
    </row>
    <row r="11" spans="1:9" ht="25.5" customHeight="1">
      <c r="A11" s="111"/>
      <c r="B11" s="111"/>
      <c r="C11" s="24" t="s">
        <v>230</v>
      </c>
      <c r="D11" s="25" t="s">
        <v>211</v>
      </c>
      <c r="E11" s="26" t="s">
        <v>231</v>
      </c>
      <c r="F11" s="26" t="s">
        <v>232</v>
      </c>
      <c r="G11" s="26" t="s">
        <v>233</v>
      </c>
      <c r="H11" s="27" t="s">
        <v>234</v>
      </c>
      <c r="I11" s="7"/>
    </row>
    <row r="12" spans="1:9" ht="25.5" customHeight="1">
      <c r="A12" s="119" t="s">
        <v>55</v>
      </c>
      <c r="B12" s="120" t="s">
        <v>235</v>
      </c>
      <c r="C12" s="20" t="s">
        <v>236</v>
      </c>
      <c r="D12" s="21" t="s">
        <v>194</v>
      </c>
      <c r="E12" s="22" t="s">
        <v>237</v>
      </c>
      <c r="F12" s="22" t="s">
        <v>238</v>
      </c>
      <c r="G12" s="22" t="s">
        <v>239</v>
      </c>
      <c r="H12" s="23" t="s">
        <v>240</v>
      </c>
      <c r="I12" s="7"/>
    </row>
    <row r="13" spans="1:9" ht="25.5" customHeight="1">
      <c r="A13" s="110"/>
      <c r="B13" s="110"/>
      <c r="C13" s="20" t="s">
        <v>241</v>
      </c>
      <c r="D13" s="21" t="s">
        <v>199</v>
      </c>
      <c r="E13" s="22" t="s">
        <v>242</v>
      </c>
      <c r="F13" s="22" t="s">
        <v>243</v>
      </c>
      <c r="G13" s="22" t="s">
        <v>244</v>
      </c>
      <c r="H13" s="23" t="s">
        <v>245</v>
      </c>
      <c r="I13" s="7"/>
    </row>
    <row r="14" spans="1:9" ht="25.5" customHeight="1">
      <c r="A14" s="110"/>
      <c r="B14" s="110"/>
      <c r="C14" s="20" t="s">
        <v>14</v>
      </c>
      <c r="D14" s="21" t="s">
        <v>205</v>
      </c>
      <c r="E14" s="22" t="s">
        <v>246</v>
      </c>
      <c r="F14" s="22" t="s">
        <v>247</v>
      </c>
      <c r="G14" s="22" t="s">
        <v>248</v>
      </c>
      <c r="H14" s="23" t="s">
        <v>249</v>
      </c>
      <c r="I14" s="7"/>
    </row>
    <row r="15" spans="1:9" ht="25.5" customHeight="1">
      <c r="A15" s="111"/>
      <c r="B15" s="111"/>
      <c r="C15" s="20" t="s">
        <v>14</v>
      </c>
      <c r="D15" s="21" t="s">
        <v>211</v>
      </c>
      <c r="E15" s="22" t="s">
        <v>250</v>
      </c>
      <c r="F15" s="22" t="s">
        <v>251</v>
      </c>
      <c r="G15" s="22" t="s">
        <v>252</v>
      </c>
      <c r="H15" s="23" t="s">
        <v>253</v>
      </c>
      <c r="I15" s="7"/>
    </row>
    <row r="16" spans="1:9" ht="25.5" customHeight="1">
      <c r="A16" s="121" t="s">
        <v>59</v>
      </c>
      <c r="B16" s="122" t="s">
        <v>254</v>
      </c>
      <c r="C16" s="24" t="s">
        <v>230</v>
      </c>
      <c r="D16" s="25" t="s">
        <v>194</v>
      </c>
      <c r="E16" s="26" t="s">
        <v>255</v>
      </c>
      <c r="F16" s="26" t="s">
        <v>256</v>
      </c>
      <c r="G16" s="26" t="s">
        <v>257</v>
      </c>
      <c r="H16" s="27" t="s">
        <v>258</v>
      </c>
      <c r="I16" s="7"/>
    </row>
    <row r="17" spans="1:9" ht="25.5" customHeight="1">
      <c r="A17" s="110"/>
      <c r="B17" s="110"/>
      <c r="C17" s="24" t="s">
        <v>14</v>
      </c>
      <c r="D17" s="25" t="s">
        <v>199</v>
      </c>
      <c r="E17" s="26" t="s">
        <v>259</v>
      </c>
      <c r="F17" s="26" t="s">
        <v>260</v>
      </c>
      <c r="G17" s="26" t="s">
        <v>261</v>
      </c>
      <c r="H17" s="27" t="s">
        <v>262</v>
      </c>
      <c r="I17" s="7"/>
    </row>
    <row r="18" spans="1:9" ht="25.5" customHeight="1">
      <c r="A18" s="110"/>
      <c r="B18" s="110"/>
      <c r="C18" s="24" t="s">
        <v>263</v>
      </c>
      <c r="D18" s="25" t="s">
        <v>205</v>
      </c>
      <c r="E18" s="26" t="s">
        <v>264</v>
      </c>
      <c r="F18" s="26" t="s">
        <v>265</v>
      </c>
      <c r="G18" s="26" t="s">
        <v>266</v>
      </c>
      <c r="H18" s="27" t="s">
        <v>267</v>
      </c>
      <c r="I18" s="7"/>
    </row>
    <row r="19" spans="1:9" ht="25.5" customHeight="1">
      <c r="A19" s="111"/>
      <c r="B19" s="111"/>
      <c r="C19" s="24" t="s">
        <v>268</v>
      </c>
      <c r="D19" s="25" t="s">
        <v>211</v>
      </c>
      <c r="E19" s="26" t="s">
        <v>269</v>
      </c>
      <c r="F19" s="26" t="s">
        <v>270</v>
      </c>
      <c r="G19" s="26" t="s">
        <v>271</v>
      </c>
      <c r="H19" s="27" t="s">
        <v>272</v>
      </c>
      <c r="I19" s="7"/>
    </row>
    <row r="20" spans="1:9" ht="25.5" customHeight="1">
      <c r="A20" s="119" t="s">
        <v>64</v>
      </c>
      <c r="B20" s="120" t="s">
        <v>273</v>
      </c>
      <c r="C20" s="20" t="s">
        <v>230</v>
      </c>
      <c r="D20" s="21" t="s">
        <v>194</v>
      </c>
      <c r="E20" s="22" t="s">
        <v>274</v>
      </c>
      <c r="F20" s="22" t="s">
        <v>275</v>
      </c>
      <c r="G20" s="22" t="s">
        <v>276</v>
      </c>
      <c r="H20" s="23" t="s">
        <v>277</v>
      </c>
      <c r="I20" s="7"/>
    </row>
    <row r="21" spans="1:9" ht="25.5" customHeight="1">
      <c r="A21" s="110"/>
      <c r="B21" s="110"/>
      <c r="C21" s="20" t="s">
        <v>278</v>
      </c>
      <c r="D21" s="21" t="s">
        <v>199</v>
      </c>
      <c r="E21" s="22" t="s">
        <v>279</v>
      </c>
      <c r="F21" s="22" t="s">
        <v>280</v>
      </c>
      <c r="G21" s="22" t="s">
        <v>281</v>
      </c>
      <c r="H21" s="23" t="s">
        <v>282</v>
      </c>
      <c r="I21" s="7"/>
    </row>
    <row r="22" spans="1:9" ht="25.5" customHeight="1">
      <c r="A22" s="110"/>
      <c r="B22" s="110"/>
      <c r="C22" s="20" t="s">
        <v>236</v>
      </c>
      <c r="D22" s="21" t="s">
        <v>205</v>
      </c>
      <c r="E22" s="22" t="s">
        <v>283</v>
      </c>
      <c r="F22" s="22" t="s">
        <v>284</v>
      </c>
      <c r="G22" s="22" t="s">
        <v>285</v>
      </c>
      <c r="H22" s="23" t="s">
        <v>286</v>
      </c>
      <c r="I22" s="7"/>
    </row>
    <row r="23" spans="1:9" ht="25.5" customHeight="1">
      <c r="A23" s="111"/>
      <c r="B23" s="111"/>
      <c r="C23" s="20" t="s">
        <v>287</v>
      </c>
      <c r="D23" s="21" t="s">
        <v>211</v>
      </c>
      <c r="E23" s="22" t="s">
        <v>288</v>
      </c>
      <c r="F23" s="22" t="s">
        <v>289</v>
      </c>
      <c r="G23" s="22" t="s">
        <v>290</v>
      </c>
      <c r="H23" s="23" t="s">
        <v>291</v>
      </c>
      <c r="I23" s="7"/>
    </row>
    <row r="24" spans="1:9" ht="25.5" customHeight="1">
      <c r="A24" s="121" t="s">
        <v>69</v>
      </c>
      <c r="B24" s="122" t="s">
        <v>20</v>
      </c>
      <c r="C24" s="24" t="s">
        <v>236</v>
      </c>
      <c r="D24" s="25" t="s">
        <v>194</v>
      </c>
      <c r="E24" s="26" t="s">
        <v>292</v>
      </c>
      <c r="F24" s="26" t="s">
        <v>293</v>
      </c>
      <c r="G24" s="26" t="s">
        <v>294</v>
      </c>
      <c r="H24" s="27" t="s">
        <v>295</v>
      </c>
      <c r="I24" s="7"/>
    </row>
    <row r="25" spans="1:9" ht="25.5" customHeight="1">
      <c r="A25" s="110"/>
      <c r="B25" s="110"/>
      <c r="C25" s="24" t="s">
        <v>296</v>
      </c>
      <c r="D25" s="25" t="s">
        <v>199</v>
      </c>
      <c r="E25" s="26" t="s">
        <v>297</v>
      </c>
      <c r="F25" s="26" t="s">
        <v>298</v>
      </c>
      <c r="G25" s="26" t="s">
        <v>299</v>
      </c>
      <c r="H25" s="27" t="s">
        <v>300</v>
      </c>
    </row>
    <row r="26" spans="1:9" ht="25.5" customHeight="1">
      <c r="A26" s="110"/>
      <c r="B26" s="110"/>
      <c r="C26" s="24" t="s">
        <v>263</v>
      </c>
      <c r="D26" s="25" t="s">
        <v>205</v>
      </c>
      <c r="E26" s="26" t="s">
        <v>301</v>
      </c>
      <c r="F26" s="26" t="s">
        <v>302</v>
      </c>
      <c r="G26" s="26" t="s">
        <v>303</v>
      </c>
      <c r="H26" s="27" t="s">
        <v>304</v>
      </c>
    </row>
    <row r="27" spans="1:9" ht="25.5" customHeight="1">
      <c r="A27" s="111"/>
      <c r="B27" s="111"/>
      <c r="C27" s="24" t="s">
        <v>305</v>
      </c>
      <c r="D27" s="25" t="s">
        <v>211</v>
      </c>
      <c r="E27" s="26" t="s">
        <v>306</v>
      </c>
      <c r="F27" s="26" t="s">
        <v>307</v>
      </c>
      <c r="G27" s="26" t="s">
        <v>308</v>
      </c>
      <c r="H27" s="27" t="s">
        <v>309</v>
      </c>
    </row>
    <row r="28" spans="1:9" ht="25.5" customHeight="1">
      <c r="A28" s="119" t="s">
        <v>73</v>
      </c>
      <c r="B28" s="120" t="s">
        <v>310</v>
      </c>
      <c r="C28" s="20" t="s">
        <v>14</v>
      </c>
      <c r="D28" s="28" t="s">
        <v>194</v>
      </c>
      <c r="E28" s="22" t="s">
        <v>311</v>
      </c>
      <c r="F28" s="22" t="s">
        <v>312</v>
      </c>
      <c r="G28" s="22" t="s">
        <v>313</v>
      </c>
      <c r="H28" s="23" t="s">
        <v>314</v>
      </c>
    </row>
    <row r="29" spans="1:9" ht="25.5" customHeight="1">
      <c r="A29" s="110"/>
      <c r="B29" s="110"/>
      <c r="C29" s="20" t="s">
        <v>14</v>
      </c>
      <c r="D29" s="28" t="s">
        <v>199</v>
      </c>
      <c r="E29" s="22" t="s">
        <v>315</v>
      </c>
      <c r="F29" s="22" t="s">
        <v>316</v>
      </c>
      <c r="G29" s="22" t="s">
        <v>317</v>
      </c>
      <c r="H29" s="23" t="s">
        <v>318</v>
      </c>
    </row>
    <row r="30" spans="1:9" ht="25.5" customHeight="1">
      <c r="A30" s="110"/>
      <c r="B30" s="110"/>
      <c r="C30" s="20" t="s">
        <v>319</v>
      </c>
      <c r="D30" s="28" t="s">
        <v>205</v>
      </c>
      <c r="E30" s="22" t="s">
        <v>320</v>
      </c>
      <c r="F30" s="22" t="s">
        <v>321</v>
      </c>
      <c r="G30" s="22" t="s">
        <v>322</v>
      </c>
      <c r="H30" s="23" t="s">
        <v>323</v>
      </c>
    </row>
    <row r="31" spans="1:9" ht="25.5" customHeight="1">
      <c r="A31" s="111"/>
      <c r="B31" s="111"/>
      <c r="C31" s="20" t="s">
        <v>324</v>
      </c>
      <c r="D31" s="28" t="s">
        <v>211</v>
      </c>
      <c r="E31" s="22" t="s">
        <v>325</v>
      </c>
      <c r="F31" s="22" t="s">
        <v>326</v>
      </c>
      <c r="G31" s="22" t="s">
        <v>327</v>
      </c>
      <c r="H31" s="23" t="s">
        <v>328</v>
      </c>
    </row>
    <row r="32" spans="1:9" ht="25.5" customHeight="1">
      <c r="A32" s="121" t="s">
        <v>78</v>
      </c>
      <c r="B32" s="122" t="s">
        <v>329</v>
      </c>
      <c r="C32" s="24" t="s">
        <v>230</v>
      </c>
      <c r="D32" s="25" t="s">
        <v>194</v>
      </c>
      <c r="E32" s="26" t="s">
        <v>330</v>
      </c>
      <c r="F32" s="26" t="s">
        <v>331</v>
      </c>
      <c r="G32" s="26" t="s">
        <v>332</v>
      </c>
      <c r="H32" s="27" t="s">
        <v>333</v>
      </c>
    </row>
    <row r="33" spans="1:8" ht="25.5" customHeight="1">
      <c r="A33" s="110"/>
      <c r="B33" s="110"/>
      <c r="C33" s="24" t="s">
        <v>230</v>
      </c>
      <c r="D33" s="25" t="s">
        <v>199</v>
      </c>
      <c r="E33" s="26" t="s">
        <v>334</v>
      </c>
      <c r="F33" s="26" t="s">
        <v>335</v>
      </c>
      <c r="G33" s="26" t="s">
        <v>336</v>
      </c>
      <c r="H33" s="27" t="s">
        <v>337</v>
      </c>
    </row>
    <row r="34" spans="1:8" ht="25.5" customHeight="1">
      <c r="A34" s="110"/>
      <c r="B34" s="110"/>
      <c r="C34" s="24" t="s">
        <v>14</v>
      </c>
      <c r="D34" s="25" t="s">
        <v>205</v>
      </c>
      <c r="E34" s="26" t="s">
        <v>338</v>
      </c>
      <c r="F34" s="26" t="s">
        <v>339</v>
      </c>
      <c r="G34" s="26" t="s">
        <v>340</v>
      </c>
      <c r="H34" s="27" t="s">
        <v>341</v>
      </c>
    </row>
    <row r="35" spans="1:8" ht="25.5" customHeight="1">
      <c r="A35" s="111"/>
      <c r="B35" s="111"/>
      <c r="C35" s="24" t="s">
        <v>342</v>
      </c>
      <c r="D35" s="25" t="s">
        <v>211</v>
      </c>
      <c r="E35" s="26" t="s">
        <v>343</v>
      </c>
      <c r="F35" s="26" t="s">
        <v>344</v>
      </c>
      <c r="G35" s="26" t="s">
        <v>345</v>
      </c>
      <c r="H35" s="27" t="s">
        <v>346</v>
      </c>
    </row>
    <row r="36" spans="1:8" ht="25.5" customHeight="1">
      <c r="A36" s="119" t="s">
        <v>82</v>
      </c>
      <c r="B36" s="120" t="s">
        <v>347</v>
      </c>
      <c r="C36" s="20" t="s">
        <v>348</v>
      </c>
      <c r="D36" s="28" t="s">
        <v>194</v>
      </c>
      <c r="E36" s="22" t="s">
        <v>349</v>
      </c>
      <c r="F36" s="22" t="s">
        <v>350</v>
      </c>
      <c r="G36" s="22" t="s">
        <v>351</v>
      </c>
      <c r="H36" s="23" t="s">
        <v>352</v>
      </c>
    </row>
    <row r="37" spans="1:8" ht="25.5" customHeight="1">
      <c r="A37" s="110"/>
      <c r="B37" s="110"/>
      <c r="C37" s="20" t="s">
        <v>353</v>
      </c>
      <c r="D37" s="28" t="s">
        <v>199</v>
      </c>
      <c r="E37" s="22" t="s">
        <v>354</v>
      </c>
      <c r="F37" s="22" t="s">
        <v>355</v>
      </c>
      <c r="G37" s="22" t="s">
        <v>356</v>
      </c>
      <c r="H37" s="23" t="s">
        <v>357</v>
      </c>
    </row>
    <row r="38" spans="1:8" ht="25.5" customHeight="1">
      <c r="A38" s="110"/>
      <c r="B38" s="110"/>
      <c r="C38" s="20" t="s">
        <v>358</v>
      </c>
      <c r="D38" s="28" t="s">
        <v>205</v>
      </c>
      <c r="E38" s="22" t="s">
        <v>359</v>
      </c>
      <c r="F38" s="22" t="s">
        <v>360</v>
      </c>
      <c r="G38" s="22" t="s">
        <v>361</v>
      </c>
      <c r="H38" s="23" t="s">
        <v>362</v>
      </c>
    </row>
    <row r="39" spans="1:8" ht="25.5" customHeight="1">
      <c r="A39" s="111"/>
      <c r="B39" s="111"/>
      <c r="C39" s="20" t="s">
        <v>287</v>
      </c>
      <c r="D39" s="28" t="s">
        <v>211</v>
      </c>
      <c r="E39" s="22" t="s">
        <v>363</v>
      </c>
      <c r="F39" s="22" t="s">
        <v>364</v>
      </c>
      <c r="G39" s="22" t="s">
        <v>365</v>
      </c>
      <c r="H39" s="23" t="s">
        <v>366</v>
      </c>
    </row>
    <row r="40" spans="1:8" ht="25.5" customHeight="1">
      <c r="A40" s="121" t="s">
        <v>87</v>
      </c>
      <c r="B40" s="122" t="s">
        <v>367</v>
      </c>
      <c r="C40" s="24" t="s">
        <v>368</v>
      </c>
      <c r="D40" s="25" t="s">
        <v>194</v>
      </c>
      <c r="E40" s="26" t="s">
        <v>369</v>
      </c>
      <c r="F40" s="26" t="s">
        <v>370</v>
      </c>
      <c r="G40" s="26" t="s">
        <v>371</v>
      </c>
      <c r="H40" s="27" t="s">
        <v>372</v>
      </c>
    </row>
    <row r="41" spans="1:8" ht="25.5" customHeight="1">
      <c r="A41" s="110"/>
      <c r="B41" s="110"/>
      <c r="C41" s="24" t="s">
        <v>296</v>
      </c>
      <c r="D41" s="25" t="s">
        <v>199</v>
      </c>
      <c r="E41" s="26" t="s">
        <v>373</v>
      </c>
      <c r="F41" s="26" t="s">
        <v>374</v>
      </c>
      <c r="G41" s="26" t="s">
        <v>375</v>
      </c>
      <c r="H41" s="27" t="s">
        <v>376</v>
      </c>
    </row>
    <row r="42" spans="1:8" ht="25.5" customHeight="1">
      <c r="A42" s="110"/>
      <c r="B42" s="110"/>
      <c r="C42" s="24" t="s">
        <v>236</v>
      </c>
      <c r="D42" s="25" t="s">
        <v>205</v>
      </c>
      <c r="E42" s="26" t="s">
        <v>377</v>
      </c>
      <c r="F42" s="26" t="s">
        <v>378</v>
      </c>
      <c r="G42" s="26" t="s">
        <v>379</v>
      </c>
      <c r="H42" s="27" t="s">
        <v>380</v>
      </c>
    </row>
    <row r="43" spans="1:8" ht="25.5" customHeight="1">
      <c r="A43" s="111"/>
      <c r="B43" s="111"/>
      <c r="C43" s="24" t="s">
        <v>210</v>
      </c>
      <c r="D43" s="25" t="s">
        <v>211</v>
      </c>
      <c r="E43" s="26" t="s">
        <v>381</v>
      </c>
      <c r="F43" s="26" t="s">
        <v>382</v>
      </c>
      <c r="G43" s="26" t="s">
        <v>383</v>
      </c>
      <c r="H43" s="27" t="s">
        <v>384</v>
      </c>
    </row>
    <row r="44" spans="1:8" ht="25.5" customHeight="1">
      <c r="A44" s="119" t="s">
        <v>91</v>
      </c>
      <c r="B44" s="120" t="s">
        <v>385</v>
      </c>
      <c r="C44" s="20" t="s">
        <v>353</v>
      </c>
      <c r="D44" s="28" t="s">
        <v>194</v>
      </c>
      <c r="E44" s="22" t="s">
        <v>386</v>
      </c>
      <c r="F44" s="22" t="s">
        <v>387</v>
      </c>
      <c r="G44" s="22" t="s">
        <v>388</v>
      </c>
      <c r="H44" s="23" t="s">
        <v>389</v>
      </c>
    </row>
    <row r="45" spans="1:8" ht="25.5" customHeight="1">
      <c r="A45" s="110"/>
      <c r="B45" s="110"/>
      <c r="C45" s="20" t="s">
        <v>390</v>
      </c>
      <c r="D45" s="28" t="s">
        <v>199</v>
      </c>
      <c r="E45" s="22" t="s">
        <v>391</v>
      </c>
      <c r="F45" s="22" t="s">
        <v>392</v>
      </c>
      <c r="G45" s="22" t="s">
        <v>393</v>
      </c>
      <c r="H45" s="23" t="s">
        <v>394</v>
      </c>
    </row>
    <row r="46" spans="1:8" ht="25.5" customHeight="1">
      <c r="A46" s="110"/>
      <c r="B46" s="110"/>
      <c r="C46" s="20" t="s">
        <v>395</v>
      </c>
      <c r="D46" s="28" t="s">
        <v>205</v>
      </c>
      <c r="E46" s="22" t="s">
        <v>396</v>
      </c>
      <c r="F46" s="22" t="s">
        <v>397</v>
      </c>
      <c r="G46" s="22" t="s">
        <v>398</v>
      </c>
      <c r="H46" s="23" t="s">
        <v>399</v>
      </c>
    </row>
    <row r="47" spans="1:8" ht="25.5" customHeight="1">
      <c r="A47" s="111"/>
      <c r="B47" s="111"/>
      <c r="C47" s="20" t="s">
        <v>400</v>
      </c>
      <c r="D47" s="28" t="s">
        <v>211</v>
      </c>
      <c r="E47" s="22" t="s">
        <v>401</v>
      </c>
      <c r="F47" s="22" t="s">
        <v>402</v>
      </c>
      <c r="G47" s="22" t="s">
        <v>403</v>
      </c>
      <c r="H47" s="23" t="s">
        <v>404</v>
      </c>
    </row>
    <row r="48" spans="1:8" ht="25.5" customHeight="1">
      <c r="A48" s="121" t="s">
        <v>95</v>
      </c>
      <c r="B48" s="122" t="s">
        <v>405</v>
      </c>
      <c r="C48" s="24" t="s">
        <v>236</v>
      </c>
      <c r="D48" s="25" t="s">
        <v>194</v>
      </c>
      <c r="E48" s="26" t="s">
        <v>406</v>
      </c>
      <c r="F48" s="26" t="s">
        <v>407</v>
      </c>
      <c r="G48" s="26" t="s">
        <v>408</v>
      </c>
      <c r="H48" s="27" t="s">
        <v>409</v>
      </c>
    </row>
    <row r="49" spans="1:8" ht="25.5" customHeight="1">
      <c r="A49" s="110"/>
      <c r="B49" s="110"/>
      <c r="C49" s="24" t="s">
        <v>305</v>
      </c>
      <c r="D49" s="25" t="s">
        <v>199</v>
      </c>
      <c r="E49" s="26" t="s">
        <v>410</v>
      </c>
      <c r="F49" s="26" t="s">
        <v>411</v>
      </c>
      <c r="G49" s="26" t="s">
        <v>412</v>
      </c>
      <c r="H49" s="27" t="s">
        <v>413</v>
      </c>
    </row>
    <row r="50" spans="1:8" ht="38.25" customHeight="1">
      <c r="A50" s="110"/>
      <c r="B50" s="110"/>
      <c r="C50" s="24" t="s">
        <v>241</v>
      </c>
      <c r="D50" s="25" t="s">
        <v>205</v>
      </c>
      <c r="E50" s="26" t="s">
        <v>414</v>
      </c>
      <c r="F50" s="26" t="s">
        <v>415</v>
      </c>
      <c r="G50" s="26" t="s">
        <v>416</v>
      </c>
      <c r="H50" s="27" t="s">
        <v>417</v>
      </c>
    </row>
    <row r="51" spans="1:8" ht="25.5" customHeight="1">
      <c r="A51" s="111"/>
      <c r="B51" s="111"/>
      <c r="C51" s="24" t="s">
        <v>418</v>
      </c>
      <c r="D51" s="25" t="s">
        <v>211</v>
      </c>
      <c r="E51" s="26" t="s">
        <v>419</v>
      </c>
      <c r="F51" s="26" t="s">
        <v>420</v>
      </c>
      <c r="G51" s="26" t="s">
        <v>421</v>
      </c>
      <c r="H51" s="27" t="s">
        <v>422</v>
      </c>
    </row>
    <row r="52" spans="1:8" ht="25.5" customHeight="1">
      <c r="A52" s="119" t="s">
        <v>99</v>
      </c>
      <c r="B52" s="120" t="s">
        <v>423</v>
      </c>
      <c r="C52" s="20" t="s">
        <v>230</v>
      </c>
      <c r="D52" s="28" t="s">
        <v>194</v>
      </c>
      <c r="E52" s="22" t="s">
        <v>424</v>
      </c>
      <c r="F52" s="22" t="s">
        <v>425</v>
      </c>
      <c r="G52" s="22" t="s">
        <v>426</v>
      </c>
      <c r="H52" s="23" t="s">
        <v>427</v>
      </c>
    </row>
    <row r="53" spans="1:8" ht="25.5" customHeight="1">
      <c r="A53" s="110"/>
      <c r="B53" s="110"/>
      <c r="C53" s="20" t="s">
        <v>236</v>
      </c>
      <c r="D53" s="28" t="s">
        <v>199</v>
      </c>
      <c r="E53" s="22" t="s">
        <v>428</v>
      </c>
      <c r="F53" s="22" t="s">
        <v>429</v>
      </c>
      <c r="G53" s="22" t="s">
        <v>430</v>
      </c>
      <c r="H53" s="23" t="s">
        <v>431</v>
      </c>
    </row>
    <row r="54" spans="1:8" ht="25.5" customHeight="1">
      <c r="A54" s="110"/>
      <c r="B54" s="110"/>
      <c r="C54" s="20" t="s">
        <v>432</v>
      </c>
      <c r="D54" s="28" t="s">
        <v>205</v>
      </c>
      <c r="E54" s="22" t="s">
        <v>433</v>
      </c>
      <c r="F54" s="22" t="s">
        <v>434</v>
      </c>
      <c r="G54" s="22" t="s">
        <v>435</v>
      </c>
      <c r="H54" s="23" t="s">
        <v>436</v>
      </c>
    </row>
    <row r="55" spans="1:8" ht="25.5" customHeight="1">
      <c r="A55" s="111"/>
      <c r="B55" s="111"/>
      <c r="C55" s="20" t="s">
        <v>14</v>
      </c>
      <c r="D55" s="28" t="s">
        <v>211</v>
      </c>
      <c r="E55" s="22" t="s">
        <v>437</v>
      </c>
      <c r="F55" s="22" t="s">
        <v>438</v>
      </c>
      <c r="G55" s="22" t="s">
        <v>439</v>
      </c>
      <c r="H55" s="23" t="s">
        <v>440</v>
      </c>
    </row>
    <row r="56" spans="1:8" ht="25.5" customHeight="1">
      <c r="A56" s="121" t="s">
        <v>105</v>
      </c>
      <c r="B56" s="122" t="s">
        <v>441</v>
      </c>
      <c r="C56" s="24" t="s">
        <v>230</v>
      </c>
      <c r="D56" s="25" t="s">
        <v>194</v>
      </c>
      <c r="E56" s="26" t="s">
        <v>442</v>
      </c>
      <c r="F56" s="26" t="s">
        <v>443</v>
      </c>
      <c r="G56" s="26" t="s">
        <v>444</v>
      </c>
      <c r="H56" s="27" t="s">
        <v>445</v>
      </c>
    </row>
    <row r="57" spans="1:8" ht="25.5" customHeight="1">
      <c r="A57" s="110"/>
      <c r="B57" s="110"/>
      <c r="C57" s="24" t="s">
        <v>14</v>
      </c>
      <c r="D57" s="25" t="s">
        <v>199</v>
      </c>
      <c r="E57" s="26" t="s">
        <v>446</v>
      </c>
      <c r="F57" s="26" t="s">
        <v>447</v>
      </c>
      <c r="G57" s="26" t="s">
        <v>448</v>
      </c>
      <c r="H57" s="27" t="s">
        <v>449</v>
      </c>
    </row>
    <row r="58" spans="1:8" ht="25.5" customHeight="1">
      <c r="A58" s="110"/>
      <c r="B58" s="110"/>
      <c r="C58" s="24" t="s">
        <v>432</v>
      </c>
      <c r="D58" s="25" t="s">
        <v>205</v>
      </c>
      <c r="E58" s="26" t="s">
        <v>450</v>
      </c>
      <c r="F58" s="26" t="s">
        <v>451</v>
      </c>
      <c r="G58" s="26" t="s">
        <v>452</v>
      </c>
      <c r="H58" s="27" t="s">
        <v>453</v>
      </c>
    </row>
    <row r="59" spans="1:8" ht="25.5" customHeight="1">
      <c r="A59" s="111"/>
      <c r="B59" s="111"/>
      <c r="C59" s="24" t="s">
        <v>454</v>
      </c>
      <c r="D59" s="25" t="s">
        <v>211</v>
      </c>
      <c r="E59" s="26" t="s">
        <v>455</v>
      </c>
      <c r="F59" s="26" t="s">
        <v>456</v>
      </c>
      <c r="G59" s="26" t="s">
        <v>457</v>
      </c>
      <c r="H59" s="27" t="s">
        <v>458</v>
      </c>
    </row>
    <row r="60" spans="1:8" ht="25.5" customHeight="1">
      <c r="A60" s="119" t="s">
        <v>110</v>
      </c>
      <c r="B60" s="120" t="s">
        <v>459</v>
      </c>
      <c r="C60" s="20" t="s">
        <v>236</v>
      </c>
      <c r="D60" s="28" t="s">
        <v>194</v>
      </c>
      <c r="E60" s="22" t="s">
        <v>460</v>
      </c>
      <c r="F60" s="22" t="s">
        <v>461</v>
      </c>
      <c r="G60" s="22" t="s">
        <v>462</v>
      </c>
      <c r="H60" s="23" t="s">
        <v>463</v>
      </c>
    </row>
    <row r="61" spans="1:8" ht="25.5" customHeight="1">
      <c r="A61" s="110"/>
      <c r="B61" s="110"/>
      <c r="C61" s="20" t="s">
        <v>230</v>
      </c>
      <c r="D61" s="28" t="s">
        <v>199</v>
      </c>
      <c r="E61" s="22" t="s">
        <v>464</v>
      </c>
      <c r="F61" s="22" t="s">
        <v>465</v>
      </c>
      <c r="G61" s="22" t="s">
        <v>466</v>
      </c>
      <c r="H61" s="23" t="s">
        <v>467</v>
      </c>
    </row>
    <row r="62" spans="1:8" ht="25.5" customHeight="1">
      <c r="A62" s="110"/>
      <c r="B62" s="110"/>
      <c r="C62" s="20" t="s">
        <v>14</v>
      </c>
      <c r="D62" s="28" t="s">
        <v>205</v>
      </c>
      <c r="E62" s="22" t="s">
        <v>468</v>
      </c>
      <c r="F62" s="22" t="s">
        <v>469</v>
      </c>
      <c r="G62" s="22" t="s">
        <v>470</v>
      </c>
      <c r="H62" s="23" t="s">
        <v>471</v>
      </c>
    </row>
    <row r="63" spans="1:8" ht="25.5" customHeight="1">
      <c r="A63" s="111"/>
      <c r="B63" s="111"/>
      <c r="C63" s="20" t="s">
        <v>263</v>
      </c>
      <c r="D63" s="28" t="s">
        <v>211</v>
      </c>
      <c r="E63" s="22" t="s">
        <v>472</v>
      </c>
      <c r="F63" s="22" t="s">
        <v>473</v>
      </c>
      <c r="G63" s="22" t="s">
        <v>474</v>
      </c>
      <c r="H63" s="23" t="s">
        <v>475</v>
      </c>
    </row>
    <row r="64" spans="1:8" ht="25.5" customHeight="1">
      <c r="A64" s="121" t="s">
        <v>114</v>
      </c>
      <c r="B64" s="122" t="s">
        <v>476</v>
      </c>
      <c r="C64" s="24" t="s">
        <v>230</v>
      </c>
      <c r="D64" s="25" t="s">
        <v>194</v>
      </c>
      <c r="E64" s="26" t="s">
        <v>477</v>
      </c>
      <c r="F64" s="26" t="s">
        <v>478</v>
      </c>
      <c r="G64" s="26" t="s">
        <v>479</v>
      </c>
      <c r="H64" s="27" t="s">
        <v>480</v>
      </c>
    </row>
    <row r="65" spans="1:8" ht="25.5" customHeight="1">
      <c r="A65" s="110"/>
      <c r="B65" s="110"/>
      <c r="C65" s="24" t="s">
        <v>241</v>
      </c>
      <c r="D65" s="25" t="s">
        <v>199</v>
      </c>
      <c r="E65" s="26" t="s">
        <v>481</v>
      </c>
      <c r="F65" s="26" t="s">
        <v>482</v>
      </c>
      <c r="G65" s="26" t="s">
        <v>483</v>
      </c>
      <c r="H65" s="27" t="s">
        <v>484</v>
      </c>
    </row>
    <row r="66" spans="1:8" ht="25.5" customHeight="1">
      <c r="A66" s="110"/>
      <c r="B66" s="110"/>
      <c r="C66" s="24" t="s">
        <v>230</v>
      </c>
      <c r="D66" s="25" t="s">
        <v>205</v>
      </c>
      <c r="E66" s="26" t="s">
        <v>485</v>
      </c>
      <c r="F66" s="26" t="s">
        <v>486</v>
      </c>
      <c r="G66" s="26" t="s">
        <v>487</v>
      </c>
      <c r="H66" s="27" t="s">
        <v>488</v>
      </c>
    </row>
    <row r="67" spans="1:8" ht="25.5" customHeight="1">
      <c r="A67" s="111"/>
      <c r="B67" s="111"/>
      <c r="C67" s="24" t="s">
        <v>305</v>
      </c>
      <c r="D67" s="25" t="s">
        <v>211</v>
      </c>
      <c r="E67" s="26" t="s">
        <v>489</v>
      </c>
      <c r="F67" s="26" t="s">
        <v>490</v>
      </c>
      <c r="G67" s="26" t="s">
        <v>491</v>
      </c>
      <c r="H67" s="27" t="s">
        <v>492</v>
      </c>
    </row>
    <row r="68" spans="1:8" ht="25.5" customHeight="1">
      <c r="A68" s="119" t="s">
        <v>118</v>
      </c>
      <c r="B68" s="120" t="s">
        <v>493</v>
      </c>
      <c r="C68" s="20" t="s">
        <v>494</v>
      </c>
      <c r="D68" s="28" t="s">
        <v>194</v>
      </c>
      <c r="E68" s="22" t="s">
        <v>495</v>
      </c>
      <c r="F68" s="22" t="s">
        <v>496</v>
      </c>
      <c r="G68" s="22" t="s">
        <v>497</v>
      </c>
      <c r="H68" s="23" t="s">
        <v>498</v>
      </c>
    </row>
    <row r="69" spans="1:8" ht="25.5" customHeight="1">
      <c r="A69" s="110"/>
      <c r="B69" s="110"/>
      <c r="C69" s="20" t="s">
        <v>499</v>
      </c>
      <c r="D69" s="28" t="s">
        <v>199</v>
      </c>
      <c r="E69" s="22" t="s">
        <v>500</v>
      </c>
      <c r="F69" s="22" t="s">
        <v>501</v>
      </c>
      <c r="G69" s="22" t="s">
        <v>502</v>
      </c>
      <c r="H69" s="23" t="s">
        <v>503</v>
      </c>
    </row>
    <row r="70" spans="1:8" ht="25.5" customHeight="1">
      <c r="A70" s="110"/>
      <c r="B70" s="110"/>
      <c r="C70" s="20" t="s">
        <v>504</v>
      </c>
      <c r="D70" s="28" t="s">
        <v>205</v>
      </c>
      <c r="E70" s="22" t="s">
        <v>505</v>
      </c>
      <c r="F70" s="22" t="s">
        <v>506</v>
      </c>
      <c r="G70" s="22" t="s">
        <v>507</v>
      </c>
      <c r="H70" s="23" t="s">
        <v>508</v>
      </c>
    </row>
    <row r="71" spans="1:8" ht="25.5" customHeight="1">
      <c r="A71" s="111"/>
      <c r="B71" s="111"/>
      <c r="C71" s="20" t="s">
        <v>236</v>
      </c>
      <c r="D71" s="28" t="s">
        <v>211</v>
      </c>
      <c r="E71" s="22" t="s">
        <v>509</v>
      </c>
      <c r="F71" s="22" t="s">
        <v>510</v>
      </c>
      <c r="G71" s="22" t="s">
        <v>511</v>
      </c>
      <c r="H71" s="23" t="s">
        <v>512</v>
      </c>
    </row>
    <row r="72" spans="1:8" ht="25.5" customHeight="1">
      <c r="A72" s="121" t="s">
        <v>124</v>
      </c>
      <c r="B72" s="122" t="s">
        <v>513</v>
      </c>
      <c r="C72" s="24" t="s">
        <v>514</v>
      </c>
      <c r="D72" s="25" t="s">
        <v>194</v>
      </c>
      <c r="E72" s="26" t="s">
        <v>515</v>
      </c>
      <c r="F72" s="26" t="s">
        <v>516</v>
      </c>
      <c r="G72" s="26" t="s">
        <v>517</v>
      </c>
      <c r="H72" s="27" t="s">
        <v>518</v>
      </c>
    </row>
    <row r="73" spans="1:8" ht="25.5" customHeight="1">
      <c r="A73" s="110"/>
      <c r="B73" s="110"/>
      <c r="C73" s="24" t="s">
        <v>519</v>
      </c>
      <c r="D73" s="25" t="s">
        <v>199</v>
      </c>
      <c r="E73" s="26" t="s">
        <v>520</v>
      </c>
      <c r="F73" s="26" t="s">
        <v>521</v>
      </c>
      <c r="G73" s="26" t="s">
        <v>522</v>
      </c>
      <c r="H73" s="27" t="s">
        <v>523</v>
      </c>
    </row>
    <row r="74" spans="1:8" ht="25.5" customHeight="1">
      <c r="A74" s="110"/>
      <c r="B74" s="110"/>
      <c r="C74" s="24" t="s">
        <v>296</v>
      </c>
      <c r="D74" s="25" t="s">
        <v>205</v>
      </c>
      <c r="E74" s="26" t="s">
        <v>524</v>
      </c>
      <c r="F74" s="26" t="s">
        <v>525</v>
      </c>
      <c r="G74" s="26" t="s">
        <v>526</v>
      </c>
      <c r="H74" s="27" t="s">
        <v>527</v>
      </c>
    </row>
    <row r="75" spans="1:8" ht="25.5" customHeight="1">
      <c r="A75" s="111"/>
      <c r="B75" s="111"/>
      <c r="C75" s="24" t="s">
        <v>528</v>
      </c>
      <c r="D75" s="25" t="s">
        <v>211</v>
      </c>
      <c r="E75" s="26" t="s">
        <v>529</v>
      </c>
      <c r="F75" s="26" t="s">
        <v>530</v>
      </c>
      <c r="G75" s="26" t="s">
        <v>531</v>
      </c>
      <c r="H75" s="27" t="s">
        <v>532</v>
      </c>
    </row>
    <row r="76" spans="1:8" ht="25.5" customHeight="1">
      <c r="A76" s="119" t="s">
        <v>128</v>
      </c>
      <c r="B76" s="120" t="s">
        <v>533</v>
      </c>
      <c r="C76" s="20" t="s">
        <v>296</v>
      </c>
      <c r="D76" s="28" t="s">
        <v>194</v>
      </c>
      <c r="E76" s="22" t="s">
        <v>534</v>
      </c>
      <c r="F76" s="22" t="s">
        <v>535</v>
      </c>
      <c r="G76" s="22" t="s">
        <v>536</v>
      </c>
      <c r="H76" s="23" t="s">
        <v>537</v>
      </c>
    </row>
    <row r="77" spans="1:8" ht="25.5" customHeight="1">
      <c r="A77" s="110"/>
      <c r="B77" s="110"/>
      <c r="C77" s="20" t="s">
        <v>538</v>
      </c>
      <c r="D77" s="28" t="s">
        <v>199</v>
      </c>
      <c r="E77" s="22" t="s">
        <v>539</v>
      </c>
      <c r="F77" s="22" t="s">
        <v>540</v>
      </c>
      <c r="G77" s="22" t="s">
        <v>541</v>
      </c>
      <c r="H77" s="23" t="s">
        <v>542</v>
      </c>
    </row>
    <row r="78" spans="1:8" ht="25.5" customHeight="1">
      <c r="A78" s="110"/>
      <c r="B78" s="110"/>
      <c r="C78" s="20" t="s">
        <v>305</v>
      </c>
      <c r="D78" s="28" t="s">
        <v>205</v>
      </c>
      <c r="E78" s="22" t="s">
        <v>543</v>
      </c>
      <c r="F78" s="22" t="s">
        <v>544</v>
      </c>
      <c r="G78" s="22" t="s">
        <v>545</v>
      </c>
      <c r="H78" s="23" t="s">
        <v>546</v>
      </c>
    </row>
    <row r="79" spans="1:8" ht="25.5" customHeight="1">
      <c r="A79" s="111"/>
      <c r="B79" s="111"/>
      <c r="C79" s="20" t="s">
        <v>342</v>
      </c>
      <c r="D79" s="28" t="s">
        <v>211</v>
      </c>
      <c r="E79" s="22" t="s">
        <v>547</v>
      </c>
      <c r="F79" s="22" t="s">
        <v>548</v>
      </c>
      <c r="G79" s="22" t="s">
        <v>549</v>
      </c>
      <c r="H79" s="23" t="s">
        <v>550</v>
      </c>
    </row>
    <row r="80" spans="1:8" ht="25.5" customHeight="1">
      <c r="A80" s="121" t="s">
        <v>133</v>
      </c>
      <c r="B80" s="122" t="s">
        <v>551</v>
      </c>
      <c r="C80" s="24" t="s">
        <v>14</v>
      </c>
      <c r="D80" s="25" t="s">
        <v>194</v>
      </c>
      <c r="E80" s="26" t="s">
        <v>552</v>
      </c>
      <c r="F80" s="26" t="s">
        <v>553</v>
      </c>
      <c r="G80" s="26" t="s">
        <v>554</v>
      </c>
      <c r="H80" s="27" t="s">
        <v>555</v>
      </c>
    </row>
    <row r="81" spans="1:8" ht="25.5" customHeight="1">
      <c r="A81" s="110"/>
      <c r="B81" s="110"/>
      <c r="C81" s="24" t="s">
        <v>556</v>
      </c>
      <c r="D81" s="25" t="s">
        <v>199</v>
      </c>
      <c r="E81" s="26" t="s">
        <v>557</v>
      </c>
      <c r="F81" s="26" t="s">
        <v>558</v>
      </c>
      <c r="G81" s="26" t="s">
        <v>559</v>
      </c>
      <c r="H81" s="27" t="s">
        <v>560</v>
      </c>
    </row>
    <row r="82" spans="1:8" ht="25.5" customHeight="1">
      <c r="A82" s="110"/>
      <c r="B82" s="110"/>
      <c r="C82" s="24" t="s">
        <v>14</v>
      </c>
      <c r="D82" s="25" t="s">
        <v>205</v>
      </c>
      <c r="E82" s="26" t="s">
        <v>561</v>
      </c>
      <c r="F82" s="26" t="s">
        <v>562</v>
      </c>
      <c r="G82" s="26" t="s">
        <v>563</v>
      </c>
      <c r="H82" s="27" t="s">
        <v>564</v>
      </c>
    </row>
    <row r="83" spans="1:8" ht="25.5" customHeight="1">
      <c r="A83" s="111"/>
      <c r="B83" s="111"/>
      <c r="C83" s="24" t="s">
        <v>565</v>
      </c>
      <c r="D83" s="25" t="s">
        <v>211</v>
      </c>
      <c r="E83" s="26" t="s">
        <v>566</v>
      </c>
      <c r="F83" s="26" t="s">
        <v>567</v>
      </c>
      <c r="G83" s="26" t="s">
        <v>568</v>
      </c>
      <c r="H83" s="27" t="s">
        <v>569</v>
      </c>
    </row>
    <row r="84" spans="1:8" ht="25.5" customHeight="1">
      <c r="A84" s="119" t="s">
        <v>140</v>
      </c>
      <c r="B84" s="120" t="s">
        <v>570</v>
      </c>
      <c r="C84" s="20" t="s">
        <v>358</v>
      </c>
      <c r="D84" s="28" t="s">
        <v>194</v>
      </c>
      <c r="E84" s="22" t="s">
        <v>571</v>
      </c>
      <c r="F84" s="22" t="s">
        <v>572</v>
      </c>
      <c r="G84" s="22" t="s">
        <v>573</v>
      </c>
      <c r="H84" s="23" t="s">
        <v>574</v>
      </c>
    </row>
    <row r="85" spans="1:8" ht="25.5" customHeight="1">
      <c r="A85" s="110"/>
      <c r="B85" s="110"/>
      <c r="C85" s="20" t="s">
        <v>358</v>
      </c>
      <c r="D85" s="28" t="s">
        <v>199</v>
      </c>
      <c r="E85" s="22" t="s">
        <v>575</v>
      </c>
      <c r="F85" s="22" t="s">
        <v>576</v>
      </c>
      <c r="G85" s="22" t="s">
        <v>577</v>
      </c>
      <c r="H85" s="23" t="s">
        <v>578</v>
      </c>
    </row>
    <row r="86" spans="1:8" ht="38.25" customHeight="1">
      <c r="A86" s="110"/>
      <c r="B86" s="110"/>
      <c r="C86" s="20" t="s">
        <v>579</v>
      </c>
      <c r="D86" s="28" t="s">
        <v>205</v>
      </c>
      <c r="E86" s="22" t="s">
        <v>580</v>
      </c>
      <c r="F86" s="22" t="s">
        <v>581</v>
      </c>
      <c r="G86" s="22" t="s">
        <v>582</v>
      </c>
      <c r="H86" s="23" t="s">
        <v>583</v>
      </c>
    </row>
    <row r="87" spans="1:8" ht="38.25" customHeight="1">
      <c r="A87" s="111"/>
      <c r="B87" s="111"/>
      <c r="C87" s="20" t="s">
        <v>324</v>
      </c>
      <c r="D87" s="28" t="s">
        <v>211</v>
      </c>
      <c r="E87" s="22" t="s">
        <v>584</v>
      </c>
      <c r="F87" s="22" t="s">
        <v>585</v>
      </c>
      <c r="G87" s="22" t="s">
        <v>586</v>
      </c>
      <c r="H87" s="23" t="s">
        <v>587</v>
      </c>
    </row>
    <row r="88" spans="1:8" ht="25.5" customHeight="1">
      <c r="A88" s="121" t="s">
        <v>145</v>
      </c>
      <c r="B88" s="122" t="s">
        <v>588</v>
      </c>
      <c r="C88" s="24" t="s">
        <v>236</v>
      </c>
      <c r="D88" s="25" t="s">
        <v>194</v>
      </c>
      <c r="E88" s="26" t="s">
        <v>589</v>
      </c>
      <c r="F88" s="26" t="s">
        <v>590</v>
      </c>
      <c r="G88" s="26" t="s">
        <v>591</v>
      </c>
      <c r="H88" s="27" t="s">
        <v>592</v>
      </c>
    </row>
    <row r="89" spans="1:8" ht="25.5" customHeight="1">
      <c r="A89" s="110"/>
      <c r="B89" s="110"/>
      <c r="C89" s="24" t="s">
        <v>241</v>
      </c>
      <c r="D89" s="25" t="s">
        <v>199</v>
      </c>
      <c r="E89" s="26" t="s">
        <v>593</v>
      </c>
      <c r="F89" s="26" t="s">
        <v>594</v>
      </c>
      <c r="G89" s="26" t="s">
        <v>595</v>
      </c>
      <c r="H89" s="27" t="s">
        <v>596</v>
      </c>
    </row>
    <row r="90" spans="1:8" ht="25.5" customHeight="1">
      <c r="A90" s="110"/>
      <c r="B90" s="110"/>
      <c r="C90" s="24" t="s">
        <v>597</v>
      </c>
      <c r="D90" s="25" t="s">
        <v>205</v>
      </c>
      <c r="E90" s="26" t="s">
        <v>598</v>
      </c>
      <c r="F90" s="26" t="s">
        <v>599</v>
      </c>
      <c r="G90" s="26" t="s">
        <v>600</v>
      </c>
      <c r="H90" s="27" t="s">
        <v>601</v>
      </c>
    </row>
    <row r="91" spans="1:8" ht="25.5" customHeight="1">
      <c r="A91" s="111"/>
      <c r="B91" s="111"/>
      <c r="C91" s="24" t="s">
        <v>14</v>
      </c>
      <c r="D91" s="25" t="s">
        <v>211</v>
      </c>
      <c r="E91" s="26" t="s">
        <v>602</v>
      </c>
      <c r="F91" s="26" t="s">
        <v>603</v>
      </c>
      <c r="G91" s="26" t="s">
        <v>604</v>
      </c>
      <c r="H91" s="27" t="s">
        <v>605</v>
      </c>
    </row>
    <row r="92" spans="1:8" ht="25.5" customHeight="1">
      <c r="A92" s="119" t="s">
        <v>149</v>
      </c>
      <c r="B92" s="120" t="s">
        <v>606</v>
      </c>
      <c r="C92" s="20" t="s">
        <v>263</v>
      </c>
      <c r="D92" s="28" t="s">
        <v>194</v>
      </c>
      <c r="E92" s="22" t="s">
        <v>607</v>
      </c>
      <c r="F92" s="22" t="s">
        <v>608</v>
      </c>
      <c r="G92" s="22" t="s">
        <v>609</v>
      </c>
      <c r="H92" s="23" t="s">
        <v>610</v>
      </c>
    </row>
    <row r="93" spans="1:8" ht="25.5" customHeight="1">
      <c r="A93" s="110"/>
      <c r="B93" s="110"/>
      <c r="C93" s="20" t="s">
        <v>611</v>
      </c>
      <c r="D93" s="28" t="s">
        <v>199</v>
      </c>
      <c r="E93" s="22" t="s">
        <v>612</v>
      </c>
      <c r="F93" s="22" t="s">
        <v>613</v>
      </c>
      <c r="G93" s="22" t="s">
        <v>614</v>
      </c>
      <c r="H93" s="23" t="s">
        <v>615</v>
      </c>
    </row>
    <row r="94" spans="1:8" ht="25.5" customHeight="1">
      <c r="A94" s="110"/>
      <c r="B94" s="110"/>
      <c r="C94" s="20" t="s">
        <v>210</v>
      </c>
      <c r="D94" s="28" t="s">
        <v>205</v>
      </c>
      <c r="E94" s="22" t="s">
        <v>616</v>
      </c>
      <c r="F94" s="22" t="s">
        <v>617</v>
      </c>
      <c r="G94" s="22" t="s">
        <v>618</v>
      </c>
      <c r="H94" s="23" t="s">
        <v>619</v>
      </c>
    </row>
    <row r="95" spans="1:8" ht="38.25" customHeight="1">
      <c r="A95" s="111"/>
      <c r="B95" s="111"/>
      <c r="C95" s="20" t="s">
        <v>620</v>
      </c>
      <c r="D95" s="28" t="s">
        <v>211</v>
      </c>
      <c r="E95" s="22" t="s">
        <v>621</v>
      </c>
      <c r="F95" s="22" t="s">
        <v>622</v>
      </c>
      <c r="G95" s="22" t="s">
        <v>623</v>
      </c>
      <c r="H95" s="23" t="s">
        <v>624</v>
      </c>
    </row>
    <row r="96" spans="1:8" ht="25.5" customHeight="1">
      <c r="A96" s="121" t="s">
        <v>156</v>
      </c>
      <c r="B96" s="122" t="s">
        <v>625</v>
      </c>
      <c r="C96" s="24" t="s">
        <v>230</v>
      </c>
      <c r="D96" s="25" t="s">
        <v>194</v>
      </c>
      <c r="E96" s="26" t="s">
        <v>626</v>
      </c>
      <c r="F96" s="26" t="s">
        <v>627</v>
      </c>
      <c r="G96" s="26" t="s">
        <v>628</v>
      </c>
      <c r="H96" s="27" t="s">
        <v>629</v>
      </c>
    </row>
    <row r="97" spans="1:8" ht="38.25" customHeight="1">
      <c r="A97" s="110"/>
      <c r="B97" s="110"/>
      <c r="C97" s="24" t="s">
        <v>630</v>
      </c>
      <c r="D97" s="25" t="s">
        <v>199</v>
      </c>
      <c r="E97" s="26" t="s">
        <v>631</v>
      </c>
      <c r="F97" s="26" t="s">
        <v>632</v>
      </c>
      <c r="G97" s="26" t="s">
        <v>633</v>
      </c>
      <c r="H97" s="27" t="s">
        <v>634</v>
      </c>
    </row>
    <row r="98" spans="1:8" ht="25.5" customHeight="1">
      <c r="A98" s="110"/>
      <c r="B98" s="110"/>
      <c r="C98" s="24" t="s">
        <v>538</v>
      </c>
      <c r="D98" s="25" t="s">
        <v>205</v>
      </c>
      <c r="E98" s="26" t="s">
        <v>635</v>
      </c>
      <c r="F98" s="26" t="s">
        <v>636</v>
      </c>
      <c r="G98" s="26" t="s">
        <v>637</v>
      </c>
      <c r="H98" s="27" t="s">
        <v>638</v>
      </c>
    </row>
    <row r="99" spans="1:8" ht="25.5" customHeight="1">
      <c r="A99" s="111"/>
      <c r="B99" s="111"/>
      <c r="C99" s="24" t="s">
        <v>241</v>
      </c>
      <c r="D99" s="25" t="s">
        <v>211</v>
      </c>
      <c r="E99" s="26" t="s">
        <v>639</v>
      </c>
      <c r="F99" s="26" t="s">
        <v>640</v>
      </c>
      <c r="G99" s="26" t="s">
        <v>641</v>
      </c>
      <c r="H99" s="27" t="s">
        <v>642</v>
      </c>
    </row>
    <row r="100" spans="1:8" ht="25.5" customHeight="1">
      <c r="A100" s="119" t="s">
        <v>161</v>
      </c>
      <c r="B100" s="120" t="s">
        <v>643</v>
      </c>
      <c r="C100" s="20" t="s">
        <v>348</v>
      </c>
      <c r="D100" s="28" t="s">
        <v>194</v>
      </c>
      <c r="E100" s="22" t="s">
        <v>644</v>
      </c>
      <c r="F100" s="22" t="s">
        <v>645</v>
      </c>
      <c r="G100" s="22" t="s">
        <v>646</v>
      </c>
      <c r="H100" s="23" t="s">
        <v>647</v>
      </c>
    </row>
    <row r="101" spans="1:8" ht="25.5" customHeight="1">
      <c r="A101" s="110"/>
      <c r="B101" s="110"/>
      <c r="C101" s="20" t="s">
        <v>648</v>
      </c>
      <c r="D101" s="28" t="s">
        <v>199</v>
      </c>
      <c r="E101" s="22" t="s">
        <v>649</v>
      </c>
      <c r="F101" s="22" t="s">
        <v>650</v>
      </c>
      <c r="G101" s="22" t="s">
        <v>651</v>
      </c>
      <c r="H101" s="23" t="s">
        <v>652</v>
      </c>
    </row>
    <row r="102" spans="1:8" ht="25.5" customHeight="1">
      <c r="A102" s="110"/>
      <c r="B102" s="110"/>
      <c r="C102" s="20" t="s">
        <v>236</v>
      </c>
      <c r="D102" s="28" t="s">
        <v>205</v>
      </c>
      <c r="E102" s="22" t="s">
        <v>653</v>
      </c>
      <c r="F102" s="22" t="s">
        <v>654</v>
      </c>
      <c r="G102" s="22" t="s">
        <v>655</v>
      </c>
      <c r="H102" s="23" t="s">
        <v>656</v>
      </c>
    </row>
    <row r="103" spans="1:8" ht="25.5" customHeight="1">
      <c r="A103" s="111"/>
      <c r="B103" s="111"/>
      <c r="C103" s="20" t="s">
        <v>296</v>
      </c>
      <c r="D103" s="28" t="s">
        <v>211</v>
      </c>
      <c r="E103" s="22" t="s">
        <v>657</v>
      </c>
      <c r="F103" s="22" t="s">
        <v>658</v>
      </c>
      <c r="G103" s="22" t="s">
        <v>659</v>
      </c>
      <c r="H103" s="23" t="s">
        <v>660</v>
      </c>
    </row>
    <row r="104" spans="1:8" ht="25.5" customHeight="1">
      <c r="A104" s="121" t="s">
        <v>165</v>
      </c>
      <c r="B104" s="122" t="s">
        <v>661</v>
      </c>
      <c r="C104" s="24" t="s">
        <v>230</v>
      </c>
      <c r="D104" s="25" t="s">
        <v>194</v>
      </c>
      <c r="E104" s="26" t="s">
        <v>662</v>
      </c>
      <c r="F104" s="26" t="s">
        <v>663</v>
      </c>
      <c r="G104" s="26" t="s">
        <v>664</v>
      </c>
      <c r="H104" s="27" t="s">
        <v>665</v>
      </c>
    </row>
    <row r="105" spans="1:8" ht="25.5" customHeight="1">
      <c r="A105" s="110"/>
      <c r="B105" s="110"/>
      <c r="C105" s="24" t="s">
        <v>666</v>
      </c>
      <c r="D105" s="25" t="s">
        <v>199</v>
      </c>
      <c r="E105" s="26" t="s">
        <v>667</v>
      </c>
      <c r="F105" s="26" t="s">
        <v>668</v>
      </c>
      <c r="G105" s="26" t="s">
        <v>669</v>
      </c>
      <c r="H105" s="27" t="s">
        <v>670</v>
      </c>
    </row>
    <row r="106" spans="1:8" ht="25.5" customHeight="1">
      <c r="A106" s="110"/>
      <c r="B106" s="110"/>
      <c r="C106" s="24" t="s">
        <v>296</v>
      </c>
      <c r="D106" s="25" t="s">
        <v>205</v>
      </c>
      <c r="E106" s="26" t="s">
        <v>671</v>
      </c>
      <c r="F106" s="26" t="s">
        <v>672</v>
      </c>
      <c r="G106" s="26" t="s">
        <v>673</v>
      </c>
      <c r="H106" s="27" t="s">
        <v>674</v>
      </c>
    </row>
    <row r="107" spans="1:8" ht="25.5" customHeight="1">
      <c r="A107" s="111"/>
      <c r="B107" s="111"/>
      <c r="C107" s="24" t="s">
        <v>353</v>
      </c>
      <c r="D107" s="25" t="s">
        <v>211</v>
      </c>
      <c r="E107" s="26" t="s">
        <v>675</v>
      </c>
      <c r="F107" s="26" t="s">
        <v>676</v>
      </c>
      <c r="G107" s="26" t="s">
        <v>677</v>
      </c>
      <c r="H107" s="27" t="s">
        <v>678</v>
      </c>
    </row>
  </sheetData>
  <mergeCells count="53">
    <mergeCell ref="A88:A91"/>
    <mergeCell ref="A64:A67"/>
    <mergeCell ref="A76:A79"/>
    <mergeCell ref="B44:B47"/>
    <mergeCell ref="B84:B87"/>
    <mergeCell ref="B60:B63"/>
    <mergeCell ref="A1:H1"/>
    <mergeCell ref="A16:A19"/>
    <mergeCell ref="A84:A87"/>
    <mergeCell ref="B52:B55"/>
    <mergeCell ref="B8:B11"/>
    <mergeCell ref="A12:A15"/>
    <mergeCell ref="A56:A59"/>
    <mergeCell ref="A80:A83"/>
    <mergeCell ref="B48:B51"/>
    <mergeCell ref="B28:B31"/>
    <mergeCell ref="A32:A35"/>
    <mergeCell ref="A36:A39"/>
    <mergeCell ref="A48:A51"/>
    <mergeCell ref="B56:B59"/>
    <mergeCell ref="B40:B43"/>
    <mergeCell ref="A8:A11"/>
    <mergeCell ref="A104:A107"/>
    <mergeCell ref="B92:B95"/>
    <mergeCell ref="A20:A23"/>
    <mergeCell ref="B68:B71"/>
    <mergeCell ref="A100:A103"/>
    <mergeCell ref="A72:A75"/>
    <mergeCell ref="B24:B27"/>
    <mergeCell ref="B80:B83"/>
    <mergeCell ref="B104:B107"/>
    <mergeCell ref="B100:B103"/>
    <mergeCell ref="B96:B99"/>
    <mergeCell ref="A60:A63"/>
    <mergeCell ref="B72:B75"/>
    <mergeCell ref="B12:B15"/>
    <mergeCell ref="B88:B91"/>
    <mergeCell ref="A4:A7"/>
    <mergeCell ref="B36:B39"/>
    <mergeCell ref="A44:A47"/>
    <mergeCell ref="B4:B7"/>
    <mergeCell ref="A96:A99"/>
    <mergeCell ref="B20:B23"/>
    <mergeCell ref="B64:B67"/>
    <mergeCell ref="A28:A31"/>
    <mergeCell ref="A92:A95"/>
    <mergeCell ref="A68:A71"/>
    <mergeCell ref="B76:B79"/>
    <mergeCell ref="A24:A27"/>
    <mergeCell ref="B16:B19"/>
    <mergeCell ref="B32:B35"/>
    <mergeCell ref="A40:A43"/>
    <mergeCell ref="A52:A5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showGridLines="0" zoomScaleNormal="100" workbookViewId="0">
      <pane ySplit="3" topLeftCell="A5" activePane="bottomLeft" state="frozen"/>
      <selection pane="bottomLeft" activeCell="A2" sqref="A2:XFD2"/>
    </sheetView>
  </sheetViews>
  <sheetFormatPr baseColWidth="10" defaultColWidth="8.5703125" defaultRowHeight="15"/>
  <cols>
    <col min="1" max="1" width="10" style="29" customWidth="1"/>
    <col min="2" max="2" width="30" style="29" customWidth="1"/>
    <col min="3" max="3" width="46" style="29" customWidth="1"/>
    <col min="4" max="5" width="62" style="29" customWidth="1"/>
  </cols>
  <sheetData>
    <row r="1" spans="1:5" ht="31.5" customHeight="1">
      <c r="A1" s="124" t="s">
        <v>679</v>
      </c>
      <c r="B1" s="97"/>
      <c r="C1" s="97"/>
      <c r="D1" s="97"/>
      <c r="E1" s="97"/>
    </row>
    <row r="3" spans="1:5" ht="27.75" customHeight="1">
      <c r="A3" s="1" t="s">
        <v>32</v>
      </c>
      <c r="B3" s="1" t="s">
        <v>33</v>
      </c>
      <c r="C3" s="1" t="s">
        <v>37</v>
      </c>
      <c r="D3" s="1" t="s">
        <v>680</v>
      </c>
      <c r="E3" s="1" t="s">
        <v>681</v>
      </c>
    </row>
    <row r="4" spans="1:5" ht="90" customHeight="1">
      <c r="A4" s="2" t="s">
        <v>42</v>
      </c>
      <c r="B4" s="130" t="s">
        <v>43</v>
      </c>
      <c r="C4" s="3" t="s">
        <v>47</v>
      </c>
      <c r="D4" s="3" t="s">
        <v>682</v>
      </c>
      <c r="E4" s="3" t="s">
        <v>683</v>
      </c>
    </row>
    <row r="5" spans="1:5" ht="90" customHeight="1">
      <c r="A5" s="2" t="s">
        <v>684</v>
      </c>
      <c r="B5" s="110"/>
      <c r="C5" s="3" t="s">
        <v>53</v>
      </c>
      <c r="D5" s="3" t="s">
        <v>685</v>
      </c>
      <c r="E5" s="3" t="s">
        <v>686</v>
      </c>
    </row>
    <row r="6" spans="1:5" ht="90" customHeight="1">
      <c r="A6" s="2" t="s">
        <v>51</v>
      </c>
      <c r="B6" s="110"/>
      <c r="C6" s="3" t="s">
        <v>57</v>
      </c>
      <c r="D6" s="3" t="s">
        <v>687</v>
      </c>
      <c r="E6" s="3" t="s">
        <v>688</v>
      </c>
    </row>
    <row r="7" spans="1:5" ht="90" customHeight="1">
      <c r="A7" s="2" t="s">
        <v>59</v>
      </c>
      <c r="B7" s="111"/>
      <c r="C7" s="3" t="s">
        <v>61</v>
      </c>
      <c r="D7" s="3" t="s">
        <v>689</v>
      </c>
      <c r="E7" s="3" t="s">
        <v>690</v>
      </c>
    </row>
    <row r="8" spans="1:5" ht="90" customHeight="1">
      <c r="A8" s="2" t="s">
        <v>64</v>
      </c>
      <c r="B8" s="128" t="s">
        <v>65</v>
      </c>
      <c r="C8" s="3" t="s">
        <v>67</v>
      </c>
      <c r="D8" s="3" t="s">
        <v>691</v>
      </c>
      <c r="E8" s="3" t="s">
        <v>692</v>
      </c>
    </row>
    <row r="9" spans="1:5" ht="90" customHeight="1">
      <c r="A9" s="2" t="s">
        <v>69</v>
      </c>
      <c r="B9" s="110"/>
      <c r="C9" s="3" t="s">
        <v>71</v>
      </c>
      <c r="D9" s="3" t="s">
        <v>693</v>
      </c>
      <c r="E9" s="3" t="s">
        <v>694</v>
      </c>
    </row>
    <row r="10" spans="1:5" ht="90" customHeight="1">
      <c r="A10" s="2" t="s">
        <v>73</v>
      </c>
      <c r="B10" s="110"/>
      <c r="C10" s="3" t="s">
        <v>76</v>
      </c>
      <c r="D10" s="3" t="s">
        <v>695</v>
      </c>
      <c r="E10" s="3" t="s">
        <v>696</v>
      </c>
    </row>
    <row r="11" spans="1:5" ht="90" customHeight="1">
      <c r="A11" s="2" t="s">
        <v>78</v>
      </c>
      <c r="B11" s="111"/>
      <c r="C11" s="3" t="s">
        <v>80</v>
      </c>
      <c r="D11" s="3" t="s">
        <v>697</v>
      </c>
      <c r="E11" s="3" t="s">
        <v>698</v>
      </c>
    </row>
    <row r="12" spans="1:5" ht="90" customHeight="1">
      <c r="A12" s="2" t="s">
        <v>82</v>
      </c>
      <c r="B12" s="131" t="s">
        <v>83</v>
      </c>
      <c r="C12" s="3" t="s">
        <v>85</v>
      </c>
      <c r="D12" s="3" t="s">
        <v>699</v>
      </c>
      <c r="E12" s="3" t="s">
        <v>700</v>
      </c>
    </row>
    <row r="13" spans="1:5" ht="90" customHeight="1">
      <c r="A13" s="2" t="s">
        <v>87</v>
      </c>
      <c r="B13" s="110"/>
      <c r="C13" s="3" t="s">
        <v>89</v>
      </c>
      <c r="D13" s="3" t="s">
        <v>701</v>
      </c>
      <c r="E13" s="3" t="s">
        <v>702</v>
      </c>
    </row>
    <row r="14" spans="1:5" ht="90" customHeight="1">
      <c r="A14" s="2" t="s">
        <v>91</v>
      </c>
      <c r="B14" s="110"/>
      <c r="C14" s="3" t="s">
        <v>93</v>
      </c>
      <c r="D14" s="3" t="s">
        <v>703</v>
      </c>
      <c r="E14" s="3" t="s">
        <v>704</v>
      </c>
    </row>
    <row r="15" spans="1:5" ht="90" customHeight="1">
      <c r="A15" s="2" t="s">
        <v>95</v>
      </c>
      <c r="B15" s="111"/>
      <c r="C15" s="3" t="s">
        <v>97</v>
      </c>
      <c r="D15" s="3" t="s">
        <v>705</v>
      </c>
      <c r="E15" s="3" t="s">
        <v>706</v>
      </c>
    </row>
    <row r="16" spans="1:5" ht="90" customHeight="1">
      <c r="A16" s="2" t="s">
        <v>99</v>
      </c>
      <c r="B16" s="125" t="s">
        <v>100</v>
      </c>
      <c r="C16" s="3" t="s">
        <v>103</v>
      </c>
      <c r="D16" s="3" t="s">
        <v>707</v>
      </c>
      <c r="E16" s="3" t="s">
        <v>708</v>
      </c>
    </row>
    <row r="17" spans="1:5" ht="90" customHeight="1">
      <c r="A17" s="2" t="s">
        <v>105</v>
      </c>
      <c r="B17" s="110"/>
      <c r="C17" s="3" t="s">
        <v>108</v>
      </c>
      <c r="D17" s="3" t="s">
        <v>709</v>
      </c>
      <c r="E17" s="3" t="s">
        <v>710</v>
      </c>
    </row>
    <row r="18" spans="1:5" ht="90" customHeight="1">
      <c r="A18" s="2" t="s">
        <v>110</v>
      </c>
      <c r="B18" s="110"/>
      <c r="C18" s="3" t="s">
        <v>112</v>
      </c>
      <c r="D18" s="3" t="s">
        <v>711</v>
      </c>
      <c r="E18" s="3" t="s">
        <v>712</v>
      </c>
    </row>
    <row r="19" spans="1:5" ht="90" customHeight="1">
      <c r="A19" s="2" t="s">
        <v>114</v>
      </c>
      <c r="B19" s="111"/>
      <c r="C19" s="3" t="s">
        <v>116</v>
      </c>
      <c r="D19" s="3" t="s">
        <v>713</v>
      </c>
      <c r="E19" s="3" t="s">
        <v>714</v>
      </c>
    </row>
    <row r="20" spans="1:5" ht="90" customHeight="1">
      <c r="A20" s="2" t="s">
        <v>118</v>
      </c>
      <c r="B20" s="129" t="s">
        <v>119</v>
      </c>
      <c r="C20" s="3" t="s">
        <v>122</v>
      </c>
      <c r="D20" s="3" t="s">
        <v>715</v>
      </c>
      <c r="E20" s="3" t="s">
        <v>716</v>
      </c>
    </row>
    <row r="21" spans="1:5" ht="90" customHeight="1">
      <c r="A21" s="2" t="s">
        <v>124</v>
      </c>
      <c r="B21" s="110"/>
      <c r="C21" s="3" t="s">
        <v>126</v>
      </c>
      <c r="D21" s="3" t="s">
        <v>717</v>
      </c>
      <c r="E21" s="3" t="s">
        <v>718</v>
      </c>
    </row>
    <row r="22" spans="1:5" ht="90" customHeight="1">
      <c r="A22" s="2" t="s">
        <v>128</v>
      </c>
      <c r="B22" s="111"/>
      <c r="C22" s="3" t="s">
        <v>131</v>
      </c>
      <c r="D22" s="3" t="s">
        <v>719</v>
      </c>
      <c r="E22" s="3" t="s">
        <v>720</v>
      </c>
    </row>
    <row r="23" spans="1:5" ht="90" customHeight="1">
      <c r="A23" s="2" t="s">
        <v>133</v>
      </c>
      <c r="B23" s="127" t="s">
        <v>134</v>
      </c>
      <c r="C23" s="3" t="s">
        <v>138</v>
      </c>
      <c r="D23" s="3" t="s">
        <v>721</v>
      </c>
      <c r="E23" s="3" t="s">
        <v>722</v>
      </c>
    </row>
    <row r="24" spans="1:5" ht="90" customHeight="1">
      <c r="A24" s="2" t="s">
        <v>140</v>
      </c>
      <c r="B24" s="110"/>
      <c r="C24" s="3" t="s">
        <v>143</v>
      </c>
      <c r="D24" s="3" t="s">
        <v>723</v>
      </c>
      <c r="E24" s="3" t="s">
        <v>724</v>
      </c>
    </row>
    <row r="25" spans="1:5" ht="90" customHeight="1">
      <c r="A25" s="2" t="s">
        <v>145</v>
      </c>
      <c r="B25" s="110"/>
      <c r="C25" s="3" t="s">
        <v>147</v>
      </c>
      <c r="D25" s="3" t="s">
        <v>725</v>
      </c>
      <c r="E25" s="3" t="s">
        <v>726</v>
      </c>
    </row>
    <row r="26" spans="1:5" ht="90" customHeight="1">
      <c r="A26" s="2" t="s">
        <v>149</v>
      </c>
      <c r="B26" s="111"/>
      <c r="C26" s="3" t="s">
        <v>152</v>
      </c>
      <c r="D26" s="3" t="s">
        <v>727</v>
      </c>
      <c r="E26" s="3" t="s">
        <v>728</v>
      </c>
    </row>
    <row r="27" spans="1:5" ht="90" customHeight="1">
      <c r="A27" s="2" t="s">
        <v>156</v>
      </c>
      <c r="B27" s="126" t="s">
        <v>157</v>
      </c>
      <c r="C27" s="3" t="s">
        <v>159</v>
      </c>
      <c r="D27" s="3" t="s">
        <v>729</v>
      </c>
      <c r="E27" s="3" t="s">
        <v>730</v>
      </c>
    </row>
    <row r="28" spans="1:5" ht="90" customHeight="1">
      <c r="A28" s="2" t="s">
        <v>161</v>
      </c>
      <c r="B28" s="110"/>
      <c r="C28" s="3" t="s">
        <v>163</v>
      </c>
      <c r="D28" s="3" t="s">
        <v>731</v>
      </c>
      <c r="E28" s="3" t="s">
        <v>732</v>
      </c>
    </row>
    <row r="29" spans="1:5" ht="90" customHeight="1">
      <c r="A29" s="2" t="s">
        <v>165</v>
      </c>
      <c r="B29" s="111"/>
      <c r="C29" s="3" t="s">
        <v>167</v>
      </c>
      <c r="D29" s="3" t="s">
        <v>733</v>
      </c>
      <c r="E29" s="3" t="s">
        <v>734</v>
      </c>
    </row>
  </sheetData>
  <mergeCells count="8">
    <mergeCell ref="A1:E1"/>
    <mergeCell ref="B16:B19"/>
    <mergeCell ref="B27:B29"/>
    <mergeCell ref="B23:B26"/>
    <mergeCell ref="B8:B11"/>
    <mergeCell ref="B20:B22"/>
    <mergeCell ref="B4:B7"/>
    <mergeCell ref="B12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>
      <selection activeCell="F29" sqref="F29"/>
    </sheetView>
  </sheetViews>
  <sheetFormatPr baseColWidth="10" defaultRowHeight="15"/>
  <cols>
    <col min="1" max="1" width="15" style="29" customWidth="1"/>
    <col min="2" max="2" width="16.5703125" style="29" customWidth="1"/>
    <col min="3" max="3" width="31.42578125" style="29" customWidth="1"/>
    <col min="4" max="4" width="45.28515625" style="29" customWidth="1"/>
    <col min="5" max="5" width="18.28515625" style="29" customWidth="1"/>
    <col min="6" max="6" width="18.42578125" style="29" customWidth="1"/>
    <col min="7" max="7" width="14.5703125" style="29" customWidth="1"/>
    <col min="8" max="8" width="18.28515625" style="29" customWidth="1"/>
    <col min="9" max="9" width="24.5703125" style="29" customWidth="1"/>
    <col min="10" max="10" width="21.85546875" style="29" customWidth="1"/>
    <col min="11" max="11" width="22" style="29" customWidth="1"/>
  </cols>
  <sheetData>
    <row r="1" spans="1:11" ht="23.25" customHeight="1">
      <c r="A1" s="132" t="s">
        <v>169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>
      <c r="A2" s="133"/>
      <c r="B2" s="97"/>
      <c r="C2" s="97"/>
      <c r="D2" s="97"/>
      <c r="E2" s="97"/>
      <c r="F2" s="97"/>
      <c r="G2" s="97"/>
      <c r="H2" s="97"/>
      <c r="I2" s="97"/>
      <c r="J2" s="97"/>
    </row>
    <row r="3" spans="1:11" ht="25.5" customHeight="1">
      <c r="A3" s="39" t="s">
        <v>170</v>
      </c>
      <c r="B3" s="40" t="s">
        <v>32</v>
      </c>
      <c r="C3" s="40" t="s">
        <v>33</v>
      </c>
      <c r="D3" s="40" t="s">
        <v>37</v>
      </c>
      <c r="E3" s="40" t="s">
        <v>171</v>
      </c>
      <c r="F3" s="40" t="s">
        <v>40</v>
      </c>
      <c r="G3" s="40" t="s">
        <v>41</v>
      </c>
      <c r="H3" s="40" t="s">
        <v>34</v>
      </c>
      <c r="I3" s="40" t="s">
        <v>172</v>
      </c>
      <c r="J3" s="41" t="s">
        <v>35</v>
      </c>
      <c r="K3" s="39" t="s">
        <v>36</v>
      </c>
    </row>
    <row r="4" spans="1:11" ht="75" customHeight="1">
      <c r="A4" s="42">
        <v>1</v>
      </c>
      <c r="B4" s="42" t="s">
        <v>42</v>
      </c>
      <c r="C4" s="43" t="s">
        <v>43</v>
      </c>
      <c r="D4" s="43" t="s">
        <v>47</v>
      </c>
      <c r="E4" s="44" t="s">
        <v>49</v>
      </c>
      <c r="F4" s="44">
        <v>8</v>
      </c>
      <c r="G4" s="44" t="s">
        <v>50</v>
      </c>
      <c r="H4" s="44" t="s">
        <v>44</v>
      </c>
      <c r="I4" s="43" t="s">
        <v>173</v>
      </c>
      <c r="J4" s="43" t="s">
        <v>45</v>
      </c>
      <c r="K4" t="s">
        <v>46</v>
      </c>
    </row>
    <row r="5" spans="1:11" ht="75" customHeight="1">
      <c r="A5" s="45">
        <v>2</v>
      </c>
      <c r="B5" s="45" t="s">
        <v>51</v>
      </c>
      <c r="C5" s="46" t="s">
        <v>43</v>
      </c>
      <c r="D5" s="46" t="s">
        <v>53</v>
      </c>
      <c r="E5" s="47" t="s">
        <v>49</v>
      </c>
      <c r="F5" s="47">
        <v>3</v>
      </c>
      <c r="G5" s="47" t="s">
        <v>50</v>
      </c>
      <c r="H5" s="47" t="s">
        <v>44</v>
      </c>
      <c r="I5" s="46" t="s">
        <v>42</v>
      </c>
      <c r="J5" s="46" t="s">
        <v>52</v>
      </c>
      <c r="K5" t="s">
        <v>46</v>
      </c>
    </row>
    <row r="6" spans="1:11" ht="75" customHeight="1">
      <c r="A6" s="45">
        <v>3</v>
      </c>
      <c r="B6" s="45" t="s">
        <v>55</v>
      </c>
      <c r="C6" s="46" t="s">
        <v>43</v>
      </c>
      <c r="D6" s="46" t="s">
        <v>57</v>
      </c>
      <c r="E6" s="47" t="s">
        <v>49</v>
      </c>
      <c r="F6" s="47">
        <v>5</v>
      </c>
      <c r="G6" s="47" t="s">
        <v>50</v>
      </c>
      <c r="H6" s="47" t="s">
        <v>44</v>
      </c>
      <c r="I6" s="46" t="s">
        <v>174</v>
      </c>
      <c r="J6" s="46" t="s">
        <v>56</v>
      </c>
      <c r="K6" t="s">
        <v>46</v>
      </c>
    </row>
    <row r="7" spans="1:11" ht="75.75" customHeight="1">
      <c r="A7" s="45">
        <v>6</v>
      </c>
      <c r="B7" s="45" t="s">
        <v>59</v>
      </c>
      <c r="C7" s="46" t="s">
        <v>43</v>
      </c>
      <c r="D7" s="46" t="s">
        <v>61</v>
      </c>
      <c r="E7" s="47" t="s">
        <v>63</v>
      </c>
      <c r="F7" s="47">
        <v>5</v>
      </c>
      <c r="G7" s="47" t="s">
        <v>50</v>
      </c>
      <c r="H7" s="47" t="s">
        <v>44</v>
      </c>
      <c r="I7" s="46" t="s">
        <v>175</v>
      </c>
      <c r="J7" s="46" t="s">
        <v>60</v>
      </c>
      <c r="K7" t="s">
        <v>46</v>
      </c>
    </row>
    <row r="8" spans="1:11" ht="105.75" customHeight="1">
      <c r="A8" s="45">
        <v>4</v>
      </c>
      <c r="B8" s="45" t="s">
        <v>64</v>
      </c>
      <c r="C8" s="46" t="s">
        <v>65</v>
      </c>
      <c r="D8" s="46" t="s">
        <v>67</v>
      </c>
      <c r="E8" s="47" t="s">
        <v>49</v>
      </c>
      <c r="F8" s="47">
        <v>5</v>
      </c>
      <c r="G8" s="47" t="s">
        <v>50</v>
      </c>
      <c r="H8" s="47" t="s">
        <v>44</v>
      </c>
      <c r="I8" s="46" t="s">
        <v>174</v>
      </c>
      <c r="J8" s="46" t="s">
        <v>66</v>
      </c>
      <c r="K8" t="s">
        <v>46</v>
      </c>
    </row>
    <row r="9" spans="1:11" ht="75" customHeight="1">
      <c r="A9" s="45">
        <v>5</v>
      </c>
      <c r="B9" s="45" t="s">
        <v>69</v>
      </c>
      <c r="C9" s="46" t="s">
        <v>65</v>
      </c>
      <c r="D9" s="46" t="s">
        <v>71</v>
      </c>
      <c r="E9" s="47" t="s">
        <v>49</v>
      </c>
      <c r="F9" s="47">
        <v>8</v>
      </c>
      <c r="G9" s="47" t="s">
        <v>50</v>
      </c>
      <c r="H9" s="47" t="s">
        <v>44</v>
      </c>
      <c r="I9" s="46" t="s">
        <v>64</v>
      </c>
      <c r="J9" s="46" t="s">
        <v>70</v>
      </c>
      <c r="K9" t="s">
        <v>46</v>
      </c>
    </row>
    <row r="10" spans="1:11" ht="74.25" customHeight="1">
      <c r="A10" s="45">
        <v>11</v>
      </c>
      <c r="B10" s="45" t="s">
        <v>78</v>
      </c>
      <c r="C10" s="46" t="s">
        <v>65</v>
      </c>
      <c r="D10" s="46" t="s">
        <v>80</v>
      </c>
      <c r="E10" s="47" t="s">
        <v>63</v>
      </c>
      <c r="F10" s="47">
        <v>3</v>
      </c>
      <c r="G10" s="47" t="s">
        <v>50</v>
      </c>
      <c r="H10" s="47" t="s">
        <v>74</v>
      </c>
      <c r="I10" s="46" t="s">
        <v>69</v>
      </c>
      <c r="J10" s="46" t="s">
        <v>79</v>
      </c>
      <c r="K10" t="s">
        <v>46</v>
      </c>
    </row>
    <row r="11" spans="1:11" ht="75.75" customHeight="1">
      <c r="A11" s="45">
        <v>7</v>
      </c>
      <c r="B11" s="45" t="s">
        <v>73</v>
      </c>
      <c r="C11" s="46" t="s">
        <v>65</v>
      </c>
      <c r="D11" s="46" t="s">
        <v>76</v>
      </c>
      <c r="E11" s="47" t="s">
        <v>49</v>
      </c>
      <c r="F11" s="47">
        <v>8</v>
      </c>
      <c r="G11" s="47" t="s">
        <v>50</v>
      </c>
      <c r="H11" s="47" t="s">
        <v>74</v>
      </c>
      <c r="I11" s="46" t="s">
        <v>176</v>
      </c>
      <c r="J11" s="46" t="s">
        <v>75</v>
      </c>
      <c r="K11" t="s">
        <v>46</v>
      </c>
    </row>
    <row r="12" spans="1:11" ht="75" customHeight="1">
      <c r="A12" s="45">
        <v>12</v>
      </c>
      <c r="B12" s="45" t="s">
        <v>82</v>
      </c>
      <c r="C12" s="46" t="s">
        <v>83</v>
      </c>
      <c r="D12" s="46" t="s">
        <v>85</v>
      </c>
      <c r="E12" s="47" t="s">
        <v>63</v>
      </c>
      <c r="F12" s="47">
        <v>5</v>
      </c>
      <c r="G12" s="47" t="s">
        <v>50</v>
      </c>
      <c r="H12" s="47" t="s">
        <v>74</v>
      </c>
      <c r="I12" s="46" t="s">
        <v>64</v>
      </c>
      <c r="J12" s="46" t="s">
        <v>84</v>
      </c>
      <c r="K12" t="s">
        <v>46</v>
      </c>
    </row>
    <row r="13" spans="1:11" ht="75" customHeight="1">
      <c r="A13" s="45">
        <v>8</v>
      </c>
      <c r="B13" s="45" t="s">
        <v>87</v>
      </c>
      <c r="C13" s="46" t="s">
        <v>83</v>
      </c>
      <c r="D13" s="46" t="s">
        <v>89</v>
      </c>
      <c r="E13" s="47" t="s">
        <v>49</v>
      </c>
      <c r="F13" s="47">
        <v>8</v>
      </c>
      <c r="G13" s="47" t="s">
        <v>50</v>
      </c>
      <c r="H13" s="47" t="s">
        <v>74</v>
      </c>
      <c r="I13" s="46" t="s">
        <v>177</v>
      </c>
      <c r="J13" s="46" t="s">
        <v>88</v>
      </c>
      <c r="K13" t="s">
        <v>46</v>
      </c>
    </row>
    <row r="14" spans="1:11" ht="76.5" customHeight="1">
      <c r="A14" s="45">
        <v>9</v>
      </c>
      <c r="B14" s="45" t="s">
        <v>91</v>
      </c>
      <c r="C14" s="46" t="s">
        <v>83</v>
      </c>
      <c r="D14" s="46" t="s">
        <v>93</v>
      </c>
      <c r="E14" s="47" t="s">
        <v>49</v>
      </c>
      <c r="F14" s="47">
        <v>8</v>
      </c>
      <c r="G14" s="47" t="s">
        <v>50</v>
      </c>
      <c r="H14" s="47" t="s">
        <v>74</v>
      </c>
      <c r="I14" s="46" t="s">
        <v>87</v>
      </c>
      <c r="J14" s="46" t="s">
        <v>92</v>
      </c>
      <c r="K14" t="s">
        <v>46</v>
      </c>
    </row>
    <row r="15" spans="1:11" ht="74.25" customHeight="1">
      <c r="A15" s="45">
        <v>10</v>
      </c>
      <c r="B15" s="45" t="s">
        <v>95</v>
      </c>
      <c r="C15" s="46" t="s">
        <v>83</v>
      </c>
      <c r="D15" s="46" t="s">
        <v>97</v>
      </c>
      <c r="E15" s="47" t="s">
        <v>49</v>
      </c>
      <c r="F15" s="47">
        <v>5</v>
      </c>
      <c r="G15" s="47" t="s">
        <v>50</v>
      </c>
      <c r="H15" s="47" t="s">
        <v>74</v>
      </c>
      <c r="I15" s="46" t="s">
        <v>178</v>
      </c>
      <c r="J15" s="46" t="s">
        <v>96</v>
      </c>
      <c r="K15" t="s">
        <v>46</v>
      </c>
    </row>
    <row r="16" spans="1:11" ht="75" customHeight="1">
      <c r="A16" s="45">
        <v>13</v>
      </c>
      <c r="B16" s="45" t="s">
        <v>99</v>
      </c>
      <c r="C16" s="46" t="s">
        <v>100</v>
      </c>
      <c r="D16" s="46" t="s">
        <v>103</v>
      </c>
      <c r="E16" s="47" t="s">
        <v>49</v>
      </c>
      <c r="F16" s="47">
        <v>8</v>
      </c>
      <c r="G16" s="47" t="s">
        <v>50</v>
      </c>
      <c r="H16" s="47" t="s">
        <v>101</v>
      </c>
      <c r="I16" s="46" t="s">
        <v>179</v>
      </c>
      <c r="J16" s="46" t="s">
        <v>102</v>
      </c>
      <c r="K16" t="s">
        <v>46</v>
      </c>
    </row>
    <row r="17" spans="1:11" ht="73.5" customHeight="1">
      <c r="A17" s="45">
        <v>14</v>
      </c>
      <c r="B17" s="45" t="s">
        <v>105</v>
      </c>
      <c r="C17" s="46" t="s">
        <v>100</v>
      </c>
      <c r="D17" s="46" t="s">
        <v>108</v>
      </c>
      <c r="E17" s="47" t="s">
        <v>49</v>
      </c>
      <c r="F17" s="47">
        <v>5</v>
      </c>
      <c r="G17" s="47" t="s">
        <v>50</v>
      </c>
      <c r="H17" s="47" t="s">
        <v>101</v>
      </c>
      <c r="I17" s="46" t="s">
        <v>99</v>
      </c>
      <c r="J17" s="46" t="s">
        <v>106</v>
      </c>
      <c r="K17" t="s">
        <v>107</v>
      </c>
    </row>
    <row r="18" spans="1:11" ht="75.75" customHeight="1">
      <c r="A18" s="45">
        <v>15</v>
      </c>
      <c r="B18" s="45" t="s">
        <v>110</v>
      </c>
      <c r="C18" s="46" t="s">
        <v>100</v>
      </c>
      <c r="D18" s="46" t="s">
        <v>112</v>
      </c>
      <c r="E18" s="47" t="s">
        <v>49</v>
      </c>
      <c r="F18" s="47">
        <v>5</v>
      </c>
      <c r="G18" s="47" t="s">
        <v>50</v>
      </c>
      <c r="H18" s="47" t="s">
        <v>101</v>
      </c>
      <c r="I18" s="46" t="s">
        <v>180</v>
      </c>
      <c r="J18" s="46" t="s">
        <v>111</v>
      </c>
      <c r="K18" t="s">
        <v>46</v>
      </c>
    </row>
    <row r="19" spans="1:11" s="29" customFormat="1" ht="75.75" customHeight="1">
      <c r="A19" s="45">
        <v>19</v>
      </c>
      <c r="B19" s="45" t="s">
        <v>114</v>
      </c>
      <c r="C19" s="46" t="s">
        <v>100</v>
      </c>
      <c r="D19" s="46" t="s">
        <v>116</v>
      </c>
      <c r="E19" s="47" t="s">
        <v>63</v>
      </c>
      <c r="F19" s="47">
        <v>5</v>
      </c>
      <c r="G19" s="47" t="s">
        <v>50</v>
      </c>
      <c r="H19" s="47" t="s">
        <v>101</v>
      </c>
      <c r="I19" s="46" t="s">
        <v>179</v>
      </c>
      <c r="J19" s="46" t="s">
        <v>115</v>
      </c>
    </row>
    <row r="20" spans="1:11" ht="75" customHeight="1">
      <c r="A20" s="45">
        <v>16</v>
      </c>
      <c r="B20" s="45" t="s">
        <v>118</v>
      </c>
      <c r="C20" s="46" t="s">
        <v>119</v>
      </c>
      <c r="D20" s="46" t="s">
        <v>122</v>
      </c>
      <c r="E20" s="47" t="s">
        <v>49</v>
      </c>
      <c r="F20" s="47">
        <v>13</v>
      </c>
      <c r="G20" s="47" t="s">
        <v>50</v>
      </c>
      <c r="H20" s="47" t="s">
        <v>101</v>
      </c>
      <c r="I20" s="46" t="s">
        <v>181</v>
      </c>
      <c r="J20" s="46" t="s">
        <v>120</v>
      </c>
      <c r="K20" t="s">
        <v>121</v>
      </c>
    </row>
    <row r="21" spans="1:11" ht="72" customHeight="1">
      <c r="A21" s="45">
        <v>17</v>
      </c>
      <c r="B21" s="45" t="s">
        <v>124</v>
      </c>
      <c r="C21" s="46" t="s">
        <v>119</v>
      </c>
      <c r="D21" s="46" t="s">
        <v>126</v>
      </c>
      <c r="E21" s="47" t="s">
        <v>49</v>
      </c>
      <c r="F21" s="47">
        <v>13</v>
      </c>
      <c r="G21" s="47" t="s">
        <v>50</v>
      </c>
      <c r="H21" s="47" t="s">
        <v>101</v>
      </c>
      <c r="I21" s="46" t="s">
        <v>118</v>
      </c>
      <c r="J21" s="46" t="s">
        <v>125</v>
      </c>
      <c r="K21" t="s">
        <v>130</v>
      </c>
    </row>
    <row r="22" spans="1:11" ht="73.5" customHeight="1">
      <c r="A22" s="45">
        <v>18</v>
      </c>
      <c r="B22" s="45" t="s">
        <v>128</v>
      </c>
      <c r="C22" s="46" t="s">
        <v>119</v>
      </c>
      <c r="D22" s="46" t="s">
        <v>131</v>
      </c>
      <c r="E22" s="47" t="s">
        <v>49</v>
      </c>
      <c r="F22" s="47">
        <v>8</v>
      </c>
      <c r="G22" s="47" t="s">
        <v>50</v>
      </c>
      <c r="H22" s="47" t="s">
        <v>101</v>
      </c>
      <c r="I22" s="46" t="s">
        <v>124</v>
      </c>
      <c r="J22" s="46" t="s">
        <v>129</v>
      </c>
      <c r="K22" t="s">
        <v>46</v>
      </c>
    </row>
    <row r="23" spans="1:11" ht="74.25" customHeight="1">
      <c r="A23" s="45">
        <v>20</v>
      </c>
      <c r="B23" s="45" t="s">
        <v>133</v>
      </c>
      <c r="C23" s="46" t="s">
        <v>134</v>
      </c>
      <c r="D23" s="46" t="s">
        <v>138</v>
      </c>
      <c r="E23" s="47" t="s">
        <v>49</v>
      </c>
      <c r="F23" s="47">
        <v>8</v>
      </c>
      <c r="G23" s="47" t="s">
        <v>50</v>
      </c>
      <c r="H23" s="47" t="s">
        <v>135</v>
      </c>
      <c r="I23" s="46" t="s">
        <v>118</v>
      </c>
      <c r="J23" s="46" t="s">
        <v>136</v>
      </c>
      <c r="K23" t="s">
        <v>137</v>
      </c>
    </row>
    <row r="24" spans="1:11" ht="76.5" customHeight="1">
      <c r="A24" s="45">
        <v>21</v>
      </c>
      <c r="B24" s="45" t="s">
        <v>140</v>
      </c>
      <c r="C24" s="46" t="s">
        <v>134</v>
      </c>
      <c r="D24" s="46" t="s">
        <v>143</v>
      </c>
      <c r="E24" s="47" t="s">
        <v>49</v>
      </c>
      <c r="F24" s="47">
        <v>8</v>
      </c>
      <c r="G24" s="47" t="s">
        <v>50</v>
      </c>
      <c r="H24" s="47" t="s">
        <v>135</v>
      </c>
      <c r="I24" s="46" t="s">
        <v>182</v>
      </c>
      <c r="J24" s="46" t="s">
        <v>141</v>
      </c>
      <c r="K24" t="s">
        <v>142</v>
      </c>
    </row>
    <row r="25" spans="1:11" ht="153" hidden="1" customHeight="1">
      <c r="A25" s="48">
        <v>22</v>
      </c>
      <c r="B25" s="48" t="s">
        <v>145</v>
      </c>
      <c r="C25" s="49" t="s">
        <v>134</v>
      </c>
      <c r="D25" s="49" t="s">
        <v>147</v>
      </c>
      <c r="E25" s="50" t="s">
        <v>63</v>
      </c>
      <c r="F25" s="50">
        <v>3</v>
      </c>
      <c r="G25" s="50" t="s">
        <v>50</v>
      </c>
      <c r="H25" s="50" t="s">
        <v>135</v>
      </c>
      <c r="I25" s="49" t="s">
        <v>118</v>
      </c>
      <c r="J25" s="49" t="s">
        <v>146</v>
      </c>
      <c r="K25" t="s">
        <v>46</v>
      </c>
    </row>
    <row r="26" spans="1:11" s="29" customFormat="1" ht="93.75" customHeight="1">
      <c r="A26" s="48">
        <v>21</v>
      </c>
      <c r="B26" s="48" t="s">
        <v>145</v>
      </c>
      <c r="C26" s="49" t="s">
        <v>735</v>
      </c>
      <c r="D26" s="49" t="s">
        <v>736</v>
      </c>
      <c r="E26" s="50" t="s">
        <v>63</v>
      </c>
      <c r="F26" s="50">
        <v>3</v>
      </c>
      <c r="G26" s="50" t="s">
        <v>50</v>
      </c>
      <c r="H26" s="50" t="s">
        <v>135</v>
      </c>
      <c r="I26" s="49" t="s">
        <v>118</v>
      </c>
      <c r="J26" s="49" t="s">
        <v>418</v>
      </c>
      <c r="K26" s="29" t="s">
        <v>46</v>
      </c>
    </row>
    <row r="27" spans="1:11" s="54" customFormat="1" ht="75" customHeight="1">
      <c r="A27" s="51">
        <v>25</v>
      </c>
      <c r="B27" s="51" t="s">
        <v>149</v>
      </c>
      <c r="C27" s="52" t="s">
        <v>134</v>
      </c>
      <c r="D27" s="52" t="s">
        <v>152</v>
      </c>
      <c r="E27" s="53" t="s">
        <v>154</v>
      </c>
      <c r="F27" s="53">
        <v>5</v>
      </c>
      <c r="G27" s="53" t="s">
        <v>155</v>
      </c>
      <c r="H27" s="53" t="s">
        <v>135</v>
      </c>
      <c r="I27" s="52" t="s">
        <v>183</v>
      </c>
      <c r="J27" s="52" t="s">
        <v>150</v>
      </c>
      <c r="K27" s="54" t="s">
        <v>151</v>
      </c>
    </row>
    <row r="28" spans="1:11" s="58" customFormat="1" ht="75" customHeight="1">
      <c r="A28" s="55">
        <v>23</v>
      </c>
      <c r="B28" s="55" t="s">
        <v>156</v>
      </c>
      <c r="C28" s="56" t="s">
        <v>157</v>
      </c>
      <c r="D28" s="56" t="s">
        <v>159</v>
      </c>
      <c r="E28" s="57" t="s">
        <v>63</v>
      </c>
      <c r="F28" s="57">
        <v>5</v>
      </c>
      <c r="G28" s="57" t="s">
        <v>50</v>
      </c>
      <c r="H28" s="57" t="s">
        <v>135</v>
      </c>
      <c r="I28" s="56" t="s">
        <v>179</v>
      </c>
      <c r="J28" s="56" t="s">
        <v>158</v>
      </c>
      <c r="K28" s="58" t="s">
        <v>46</v>
      </c>
    </row>
    <row r="29" spans="1:11" s="54" customFormat="1" ht="75" customHeight="1">
      <c r="A29" s="51">
        <v>24</v>
      </c>
      <c r="B29" s="51" t="s">
        <v>161</v>
      </c>
      <c r="C29" s="52" t="s">
        <v>157</v>
      </c>
      <c r="D29" s="52" t="s">
        <v>163</v>
      </c>
      <c r="E29" s="53" t="s">
        <v>63</v>
      </c>
      <c r="F29" s="53">
        <v>8</v>
      </c>
      <c r="G29" s="53" t="s">
        <v>50</v>
      </c>
      <c r="H29" s="53" t="s">
        <v>135</v>
      </c>
      <c r="I29" s="52" t="s">
        <v>179</v>
      </c>
      <c r="J29" s="52" t="s">
        <v>162</v>
      </c>
      <c r="K29" s="54" t="s">
        <v>46</v>
      </c>
    </row>
    <row r="30" spans="1:11" ht="75" customHeight="1">
      <c r="A30" s="42">
        <v>26</v>
      </c>
      <c r="B30" s="42" t="s">
        <v>165</v>
      </c>
      <c r="C30" s="43" t="s">
        <v>157</v>
      </c>
      <c r="D30" s="43" t="s">
        <v>167</v>
      </c>
      <c r="E30" s="44" t="s">
        <v>154</v>
      </c>
      <c r="F30" s="44">
        <v>8</v>
      </c>
      <c r="G30" s="44" t="s">
        <v>155</v>
      </c>
      <c r="H30" s="44" t="s">
        <v>135</v>
      </c>
      <c r="I30" s="43" t="s">
        <v>179</v>
      </c>
      <c r="J30" s="43" t="s">
        <v>166</v>
      </c>
      <c r="K30" t="s">
        <v>46</v>
      </c>
    </row>
  </sheetData>
  <mergeCells count="2">
    <mergeCell ref="A1:K1"/>
    <mergeCell ref="A2:J2"/>
  </mergeCells>
  <conditionalFormatting sqref="E4:E27">
    <cfRule type="containsText" dxfId="15" priority="6" operator="containsText" text="Must"/>
    <cfRule type="containsText" dxfId="14" priority="7" operator="containsText" text="Should"/>
    <cfRule type="containsText" dxfId="13" priority="8" operator="containsText" text="Could"/>
  </conditionalFormatting>
  <conditionalFormatting sqref="E26:E27">
    <cfRule type="containsText" dxfId="12" priority="1" operator="containsText" text="Must"/>
    <cfRule type="containsText" dxfId="11" priority="2" operator="containsText" text="Should"/>
    <cfRule type="containsText" dxfId="10" priority="3" operator="containsText" text="Could"/>
  </conditionalFormatting>
  <conditionalFormatting sqref="G4:G27">
    <cfRule type="containsText" dxfId="9" priority="9" operator="containsText" text="Sí"/>
    <cfRule type="containsText" dxfId="8" priority="10" operator="containsText" text="No"/>
  </conditionalFormatting>
  <conditionalFormatting sqref="G26:G27">
    <cfRule type="containsText" dxfId="7" priority="4" operator="containsText" text="Sí"/>
    <cfRule type="containsText" dxfId="6" priority="5" operator="containsText" text="No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5912-FAF5-4E1C-9394-58FA0B4DD68C}">
  <dimension ref="A1:AA11"/>
  <sheetViews>
    <sheetView workbookViewId="0">
      <selection activeCell="AA11" sqref="AA11"/>
    </sheetView>
  </sheetViews>
  <sheetFormatPr baseColWidth="10" defaultRowHeight="15"/>
  <cols>
    <col min="1" max="1" width="14.5703125" customWidth="1"/>
    <col min="2" max="2" width="50.5703125" customWidth="1"/>
    <col min="3" max="4" width="19" customWidth="1"/>
    <col min="5" max="5" width="22.85546875" customWidth="1"/>
  </cols>
  <sheetData>
    <row r="1" spans="1:27" ht="23.25">
      <c r="A1" s="132" t="s">
        <v>737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</row>
    <row r="2" spans="1:27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</row>
    <row r="3" spans="1:27" ht="29.25" customHeight="1">
      <c r="A3" s="39" t="s">
        <v>34</v>
      </c>
      <c r="B3" s="40" t="s">
        <v>738</v>
      </c>
      <c r="C3" s="40" t="s">
        <v>739</v>
      </c>
      <c r="D3" s="40" t="s">
        <v>40</v>
      </c>
      <c r="E3" s="40" t="s">
        <v>740</v>
      </c>
      <c r="F3" s="40" t="s">
        <v>741</v>
      </c>
      <c r="G3" s="40" t="s">
        <v>742</v>
      </c>
      <c r="H3" s="40" t="s">
        <v>743</v>
      </c>
      <c r="I3" s="59">
        <v>1</v>
      </c>
      <c r="J3" s="59">
        <v>2</v>
      </c>
      <c r="K3" s="59">
        <v>3</v>
      </c>
      <c r="L3" s="59">
        <v>4</v>
      </c>
      <c r="M3" s="59">
        <v>5</v>
      </c>
      <c r="N3" s="59">
        <v>6</v>
      </c>
      <c r="O3" s="59">
        <v>7</v>
      </c>
      <c r="P3" s="59">
        <v>8</v>
      </c>
      <c r="Q3" s="59">
        <v>9</v>
      </c>
      <c r="R3" s="59">
        <v>10</v>
      </c>
      <c r="S3" s="59">
        <v>11</v>
      </c>
      <c r="T3" s="60">
        <v>12</v>
      </c>
      <c r="U3" s="60">
        <v>12</v>
      </c>
      <c r="V3" s="60">
        <v>13</v>
      </c>
      <c r="W3" s="60">
        <v>14</v>
      </c>
      <c r="X3" s="60">
        <v>15</v>
      </c>
      <c r="Y3" s="60">
        <v>16</v>
      </c>
      <c r="Z3" s="60">
        <v>17</v>
      </c>
      <c r="AA3" s="60">
        <v>18</v>
      </c>
    </row>
    <row r="4" spans="1:27" ht="57" customHeight="1">
      <c r="A4" s="61" t="s">
        <v>44</v>
      </c>
      <c r="B4" s="44" t="s">
        <v>748</v>
      </c>
      <c r="C4" s="43" t="s">
        <v>752</v>
      </c>
      <c r="D4" s="62">
        <f>SUMIF(Backlog!G4:G9,Backlog!G5,Backlog!F4:F9)</f>
        <v>34</v>
      </c>
      <c r="E4" s="43" t="s">
        <v>756</v>
      </c>
      <c r="F4" s="44" t="s">
        <v>50</v>
      </c>
      <c r="G4" s="44">
        <v>1</v>
      </c>
      <c r="H4" s="44">
        <v>2</v>
      </c>
      <c r="I4" s="44" t="str">
        <f t="shared" ref="I4:T7" si="0">IF(AND(I$3&gt;=$G4,I$3&lt;$G4+$H4),"PLAN","")</f>
        <v>PLAN</v>
      </c>
      <c r="J4" s="44" t="str">
        <f t="shared" si="0"/>
        <v>PLAN</v>
      </c>
      <c r="K4" s="47" t="s">
        <v>760</v>
      </c>
      <c r="L4" s="44" t="s">
        <v>760</v>
      </c>
      <c r="M4" s="44" t="str">
        <f t="shared" si="0"/>
        <v/>
      </c>
      <c r="N4" s="44" t="str">
        <f t="shared" si="0"/>
        <v/>
      </c>
      <c r="O4" s="44" t="str">
        <f t="shared" si="0"/>
        <v/>
      </c>
      <c r="P4" s="44" t="str">
        <f t="shared" si="0"/>
        <v/>
      </c>
      <c r="Q4" s="44" t="str">
        <f t="shared" si="0"/>
        <v/>
      </c>
      <c r="R4" s="44" t="str">
        <f t="shared" si="0"/>
        <v/>
      </c>
      <c r="S4" s="44" t="str">
        <f t="shared" si="0"/>
        <v/>
      </c>
      <c r="T4" s="44" t="str">
        <f t="shared" si="0"/>
        <v/>
      </c>
    </row>
    <row r="5" spans="1:27" ht="76.5" customHeight="1">
      <c r="A5" s="63" t="s">
        <v>74</v>
      </c>
      <c r="B5" s="47" t="s">
        <v>749</v>
      </c>
      <c r="C5" s="46" t="s">
        <v>753</v>
      </c>
      <c r="D5" s="64">
        <f>SUMIF(Backlog!G10:G15,Backlog!G5,Backlog!F10:F15)</f>
        <v>37</v>
      </c>
      <c r="E5" s="46" t="s">
        <v>757</v>
      </c>
      <c r="F5" s="47" t="s">
        <v>50</v>
      </c>
      <c r="G5" s="47">
        <v>3</v>
      </c>
      <c r="H5" s="47">
        <v>2</v>
      </c>
      <c r="I5" s="47" t="str">
        <f t="shared" si="0"/>
        <v/>
      </c>
      <c r="J5" s="47" t="str">
        <f t="shared" si="0"/>
        <v/>
      </c>
      <c r="K5" s="47"/>
      <c r="L5" s="47" t="s">
        <v>760</v>
      </c>
      <c r="M5" s="47" t="s">
        <v>760</v>
      </c>
      <c r="N5" s="47" t="s">
        <v>760</v>
      </c>
      <c r="O5" s="47" t="s">
        <v>760</v>
      </c>
      <c r="P5" s="47" t="s">
        <v>760</v>
      </c>
      <c r="Q5" s="47" t="str">
        <f t="shared" si="0"/>
        <v/>
      </c>
      <c r="R5" s="47" t="str">
        <f t="shared" si="0"/>
        <v/>
      </c>
      <c r="S5" s="47" t="str">
        <f t="shared" si="0"/>
        <v/>
      </c>
      <c r="T5" s="47" t="str">
        <f t="shared" si="0"/>
        <v/>
      </c>
    </row>
    <row r="6" spans="1:27" ht="73.5" customHeight="1">
      <c r="A6" s="63" t="s">
        <v>101</v>
      </c>
      <c r="B6" s="47" t="s">
        <v>750</v>
      </c>
      <c r="C6" s="46" t="s">
        <v>754</v>
      </c>
      <c r="D6" s="64">
        <f>SUMIF(Backlog!G16:G22,Backlog!G22,Backlog!F16:F22)</f>
        <v>57</v>
      </c>
      <c r="E6" s="46" t="s">
        <v>758</v>
      </c>
      <c r="F6" s="47" t="s">
        <v>50</v>
      </c>
      <c r="G6" s="47">
        <v>5</v>
      </c>
      <c r="H6" s="47">
        <v>2</v>
      </c>
      <c r="I6" s="47" t="str">
        <f t="shared" si="0"/>
        <v/>
      </c>
      <c r="J6" s="47" t="str">
        <f t="shared" si="0"/>
        <v/>
      </c>
      <c r="K6" s="47" t="str">
        <f t="shared" si="0"/>
        <v/>
      </c>
      <c r="L6" s="47" t="str">
        <f t="shared" si="0"/>
        <v/>
      </c>
      <c r="M6" s="47"/>
      <c r="N6" s="47"/>
      <c r="O6" s="47" t="str">
        <f t="shared" si="0"/>
        <v/>
      </c>
      <c r="P6" s="47" t="s">
        <v>760</v>
      </c>
      <c r="Q6" s="47" t="s">
        <v>760</v>
      </c>
      <c r="R6" s="47" t="s">
        <v>760</v>
      </c>
      <c r="S6" s="47" t="s">
        <v>760</v>
      </c>
      <c r="T6" s="47" t="s">
        <v>760</v>
      </c>
    </row>
    <row r="7" spans="1:27" ht="86.25" customHeight="1">
      <c r="A7" s="63" t="s">
        <v>135</v>
      </c>
      <c r="B7" s="47" t="s">
        <v>751</v>
      </c>
      <c r="C7" s="46" t="s">
        <v>755</v>
      </c>
      <c r="D7" s="64">
        <v>32</v>
      </c>
      <c r="E7" s="46" t="s">
        <v>759</v>
      </c>
      <c r="F7" s="47" t="s">
        <v>50</v>
      </c>
      <c r="G7" s="47">
        <v>7</v>
      </c>
      <c r="H7" s="47">
        <v>2</v>
      </c>
      <c r="I7" s="47" t="str">
        <f t="shared" si="0"/>
        <v/>
      </c>
      <c r="J7" s="47" t="str">
        <f t="shared" si="0"/>
        <v/>
      </c>
      <c r="K7" s="47" t="str">
        <f t="shared" si="0"/>
        <v/>
      </c>
      <c r="L7" s="47" t="str">
        <f t="shared" si="0"/>
        <v/>
      </c>
      <c r="M7" s="47" t="str">
        <f t="shared" si="0"/>
        <v/>
      </c>
      <c r="N7" s="47" t="str">
        <f t="shared" si="0"/>
        <v/>
      </c>
      <c r="O7" s="47"/>
      <c r="P7" s="47"/>
      <c r="Q7" s="47" t="str">
        <f t="shared" si="0"/>
        <v/>
      </c>
      <c r="R7" s="47" t="str">
        <f t="shared" si="0"/>
        <v/>
      </c>
      <c r="S7" s="47" t="str">
        <f t="shared" si="0"/>
        <v/>
      </c>
      <c r="T7" s="47" t="str">
        <f t="shared" si="0"/>
        <v/>
      </c>
      <c r="U7" s="47" t="s">
        <v>760</v>
      </c>
      <c r="V7" s="47" t="s">
        <v>760</v>
      </c>
      <c r="W7" s="47" t="s">
        <v>760</v>
      </c>
      <c r="X7" s="47" t="s">
        <v>760</v>
      </c>
      <c r="Y7" s="47" t="s">
        <v>760</v>
      </c>
    </row>
    <row r="8" spans="1:27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7" ht="25.5">
      <c r="A9" s="39" t="s">
        <v>745</v>
      </c>
      <c r="B9" s="40" t="s">
        <v>739</v>
      </c>
      <c r="C9" s="40" t="s">
        <v>40</v>
      </c>
      <c r="D9" s="41" t="s">
        <v>743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7" ht="15.75">
      <c r="A10" s="66" t="s">
        <v>746</v>
      </c>
      <c r="B10" s="67">
        <f>COUNTIF('[1]Backlog Priorizado'!$G$4:$G$26,"Sí")</f>
        <v>22</v>
      </c>
      <c r="C10" s="67">
        <f>SUM(D4:D7)</f>
        <v>160</v>
      </c>
      <c r="D10" s="68" t="s">
        <v>747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7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</sheetData>
  <mergeCells count="2">
    <mergeCell ref="A1:T1"/>
    <mergeCell ref="A2:T2"/>
  </mergeCells>
  <conditionalFormatting sqref="I4:T7">
    <cfRule type="containsText" dxfId="5" priority="2" operator="containsText" text="PLAN"/>
  </conditionalFormatting>
  <conditionalFormatting sqref="U7:Y7">
    <cfRule type="containsText" dxfId="4" priority="1" operator="containsText" text="PLAN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FEBF-9BE6-4022-82FF-6D809E667001}">
  <dimension ref="A1:Z21"/>
  <sheetViews>
    <sheetView tabSelected="1" topLeftCell="A12" workbookViewId="0">
      <selection activeCell="E16" sqref="E16"/>
    </sheetView>
  </sheetViews>
  <sheetFormatPr baseColWidth="10" defaultRowHeight="15"/>
  <cols>
    <col min="1" max="1" width="34" customWidth="1"/>
    <col min="2" max="2" width="20.5703125" customWidth="1"/>
    <col min="3" max="3" width="35.28515625" customWidth="1"/>
    <col min="4" max="4" width="28.5703125" customWidth="1"/>
    <col min="7" max="7" width="29.5703125" customWidth="1"/>
    <col min="8" max="8" width="25.28515625" customWidth="1"/>
  </cols>
  <sheetData>
    <row r="1" spans="1:26" ht="23.25">
      <c r="A1" s="132" t="s">
        <v>942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1:26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16.5">
      <c r="A3" s="81" t="s">
        <v>943</v>
      </c>
      <c r="B3" s="82">
        <v>5</v>
      </c>
      <c r="C3" s="81"/>
      <c r="D3" s="81" t="s">
        <v>944</v>
      </c>
      <c r="E3" s="83">
        <v>18</v>
      </c>
      <c r="F3" s="81"/>
      <c r="G3" s="134" t="s">
        <v>945</v>
      </c>
      <c r="H3" s="134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39" t="s">
        <v>32</v>
      </c>
      <c r="B5" s="40" t="s">
        <v>946</v>
      </c>
      <c r="C5" s="40" t="s">
        <v>947</v>
      </c>
      <c r="D5" s="40" t="s">
        <v>764</v>
      </c>
      <c r="E5" s="40" t="s">
        <v>742</v>
      </c>
      <c r="F5" s="40" t="s">
        <v>743</v>
      </c>
      <c r="G5" s="40" t="s">
        <v>766</v>
      </c>
      <c r="H5" s="40" t="s">
        <v>740</v>
      </c>
      <c r="I5" s="84">
        <v>1</v>
      </c>
      <c r="J5" s="85">
        <v>2</v>
      </c>
      <c r="K5" s="84">
        <v>3</v>
      </c>
      <c r="L5" s="84">
        <v>4</v>
      </c>
      <c r="M5" s="84">
        <v>5</v>
      </c>
      <c r="N5" s="84">
        <v>6</v>
      </c>
      <c r="O5" s="84">
        <v>7</v>
      </c>
      <c r="P5" s="84">
        <v>8</v>
      </c>
      <c r="Q5" s="84">
        <v>9</v>
      </c>
      <c r="R5" s="84">
        <v>10</v>
      </c>
      <c r="S5" s="84">
        <v>11</v>
      </c>
      <c r="T5" s="84">
        <v>12</v>
      </c>
      <c r="U5" s="84">
        <v>13</v>
      </c>
      <c r="V5" s="84">
        <v>14</v>
      </c>
      <c r="W5" s="84">
        <v>15</v>
      </c>
      <c r="X5" s="84">
        <v>16</v>
      </c>
      <c r="Y5" s="84">
        <v>17</v>
      </c>
      <c r="Z5" s="86">
        <v>18</v>
      </c>
    </row>
    <row r="6" spans="1:26" ht="55.5" customHeight="1">
      <c r="A6" s="75" t="s">
        <v>948</v>
      </c>
      <c r="B6" s="75" t="s">
        <v>742</v>
      </c>
      <c r="C6" s="43" t="s">
        <v>949</v>
      </c>
      <c r="D6" s="43" t="s">
        <v>950</v>
      </c>
      <c r="E6" s="44">
        <v>1</v>
      </c>
      <c r="F6" s="44">
        <v>1</v>
      </c>
      <c r="G6" s="44" t="str">
        <f t="shared" ref="G6:G21" si="0">IF(E6+F6-1&lt;$B$3,"Completado",IF(AND(E6&lt;=$B$3,E6+F6-1&gt;=$B$3),"En progreso","Pendiente"))</f>
        <v>Completado</v>
      </c>
      <c r="H6" s="43" t="s">
        <v>951</v>
      </c>
      <c r="I6" s="43" t="str">
        <f t="shared" ref="I6:X21" si="1">IF(AND(I$5&gt;=$E6,I$5&lt;$E6+$F6),"PLAN","")</f>
        <v>PLAN</v>
      </c>
      <c r="J6" s="43" t="str">
        <f t="shared" si="1"/>
        <v/>
      </c>
      <c r="K6" s="43" t="str">
        <f t="shared" si="1"/>
        <v/>
      </c>
      <c r="L6" s="43" t="str">
        <f t="shared" si="1"/>
        <v/>
      </c>
      <c r="M6" s="43" t="str">
        <f t="shared" si="1"/>
        <v/>
      </c>
      <c r="N6" s="43" t="str">
        <f t="shared" si="1"/>
        <v/>
      </c>
      <c r="O6" s="43" t="str">
        <f t="shared" si="1"/>
        <v/>
      </c>
      <c r="P6" s="43" t="str">
        <f t="shared" si="1"/>
        <v/>
      </c>
      <c r="Q6" s="43" t="str">
        <f t="shared" si="1"/>
        <v/>
      </c>
      <c r="R6" s="43" t="str">
        <f t="shared" si="1"/>
        <v/>
      </c>
      <c r="S6" s="43" t="str">
        <f t="shared" si="1"/>
        <v/>
      </c>
      <c r="T6" s="43" t="str">
        <f t="shared" si="1"/>
        <v/>
      </c>
      <c r="U6" s="43" t="str">
        <f t="shared" si="1"/>
        <v/>
      </c>
      <c r="V6" s="43" t="str">
        <f t="shared" si="1"/>
        <v/>
      </c>
      <c r="W6" s="43" t="str">
        <f t="shared" si="1"/>
        <v/>
      </c>
      <c r="X6" s="43" t="str">
        <f t="shared" si="1"/>
        <v/>
      </c>
      <c r="Y6" s="43" t="str">
        <f t="shared" ref="S6:Z21" si="2">IF(AND(Y$5&gt;=$E6,Y$5&lt;$E6+$F6),"PLAN","")</f>
        <v/>
      </c>
      <c r="Z6" s="43" t="str">
        <f t="shared" si="2"/>
        <v/>
      </c>
    </row>
    <row r="7" spans="1:26" ht="68.25" customHeight="1">
      <c r="A7" s="77" t="s">
        <v>952</v>
      </c>
      <c r="B7" s="77" t="s">
        <v>953</v>
      </c>
      <c r="C7" s="46" t="s">
        <v>954</v>
      </c>
      <c r="D7" s="46" t="s">
        <v>950</v>
      </c>
      <c r="E7" s="47">
        <v>2</v>
      </c>
      <c r="F7" s="47">
        <v>1</v>
      </c>
      <c r="G7" s="47" t="str">
        <f t="shared" si="0"/>
        <v>Completado</v>
      </c>
      <c r="H7" s="46" t="s">
        <v>955</v>
      </c>
      <c r="I7" s="46" t="str">
        <f t="shared" si="1"/>
        <v/>
      </c>
      <c r="J7" s="46" t="str">
        <f t="shared" si="1"/>
        <v>PLAN</v>
      </c>
      <c r="K7" s="46" t="str">
        <f t="shared" si="1"/>
        <v/>
      </c>
      <c r="L7" s="46" t="str">
        <f t="shared" si="1"/>
        <v/>
      </c>
      <c r="M7" s="46" t="str">
        <f t="shared" si="1"/>
        <v/>
      </c>
      <c r="N7" s="46" t="str">
        <f t="shared" si="1"/>
        <v/>
      </c>
      <c r="O7" s="46" t="str">
        <f t="shared" si="1"/>
        <v/>
      </c>
      <c r="P7" s="46" t="str">
        <f t="shared" si="1"/>
        <v/>
      </c>
      <c r="Q7" s="46" t="str">
        <f t="shared" si="1"/>
        <v/>
      </c>
      <c r="R7" s="46" t="str">
        <f t="shared" si="1"/>
        <v/>
      </c>
      <c r="S7" s="46" t="str">
        <f t="shared" si="2"/>
        <v/>
      </c>
      <c r="T7" s="46" t="str">
        <f t="shared" si="2"/>
        <v/>
      </c>
      <c r="U7" s="46" t="str">
        <f t="shared" si="2"/>
        <v/>
      </c>
      <c r="V7" s="46" t="str">
        <f t="shared" si="2"/>
        <v/>
      </c>
      <c r="W7" s="46" t="str">
        <f t="shared" si="2"/>
        <v/>
      </c>
      <c r="X7" s="46" t="str">
        <f t="shared" si="2"/>
        <v/>
      </c>
      <c r="Y7" s="46" t="str">
        <f t="shared" si="2"/>
        <v/>
      </c>
      <c r="Z7" s="46" t="str">
        <f t="shared" si="2"/>
        <v/>
      </c>
    </row>
    <row r="8" spans="1:26" ht="72" customHeight="1">
      <c r="A8" s="77" t="s">
        <v>956</v>
      </c>
      <c r="B8" s="77" t="s">
        <v>957</v>
      </c>
      <c r="C8" s="46" t="s">
        <v>958</v>
      </c>
      <c r="D8" s="46" t="s">
        <v>959</v>
      </c>
      <c r="E8" s="47">
        <v>2</v>
      </c>
      <c r="F8" s="47">
        <v>1</v>
      </c>
      <c r="G8" s="47" t="str">
        <f t="shared" si="0"/>
        <v>Completado</v>
      </c>
      <c r="H8" s="46" t="s">
        <v>960</v>
      </c>
      <c r="I8" s="46" t="str">
        <f t="shared" si="1"/>
        <v/>
      </c>
      <c r="J8" s="46" t="str">
        <f t="shared" si="1"/>
        <v>PLAN</v>
      </c>
      <c r="K8" s="46" t="str">
        <f t="shared" si="1"/>
        <v/>
      </c>
      <c r="L8" s="46" t="str">
        <f t="shared" si="1"/>
        <v/>
      </c>
      <c r="M8" s="46" t="str">
        <f t="shared" si="1"/>
        <v/>
      </c>
      <c r="N8" s="46" t="str">
        <f t="shared" si="1"/>
        <v/>
      </c>
      <c r="O8" s="46" t="str">
        <f t="shared" si="1"/>
        <v/>
      </c>
      <c r="P8" s="46" t="str">
        <f t="shared" si="1"/>
        <v/>
      </c>
      <c r="Q8" s="46" t="str">
        <f t="shared" si="1"/>
        <v/>
      </c>
      <c r="R8" s="46" t="str">
        <f t="shared" si="1"/>
        <v/>
      </c>
      <c r="S8" s="46" t="str">
        <f t="shared" si="2"/>
        <v/>
      </c>
      <c r="T8" s="46" t="str">
        <f t="shared" si="2"/>
        <v/>
      </c>
      <c r="U8" s="46" t="str">
        <f t="shared" si="2"/>
        <v/>
      </c>
      <c r="V8" s="46" t="str">
        <f t="shared" si="2"/>
        <v/>
      </c>
      <c r="W8" s="46" t="str">
        <f t="shared" si="2"/>
        <v/>
      </c>
      <c r="X8" s="46" t="str">
        <f t="shared" si="2"/>
        <v/>
      </c>
      <c r="Y8" s="46" t="str">
        <f t="shared" si="2"/>
        <v/>
      </c>
      <c r="Z8" s="46" t="str">
        <f t="shared" si="2"/>
        <v/>
      </c>
    </row>
    <row r="9" spans="1:26" ht="79.5" customHeight="1">
      <c r="A9" s="77" t="s">
        <v>961</v>
      </c>
      <c r="B9" s="77" t="s">
        <v>962</v>
      </c>
      <c r="C9" s="46" t="s">
        <v>963</v>
      </c>
      <c r="D9" s="46" t="s">
        <v>964</v>
      </c>
      <c r="E9" s="47">
        <v>2</v>
      </c>
      <c r="F9" s="47">
        <v>1</v>
      </c>
      <c r="G9" s="47" t="str">
        <f t="shared" si="0"/>
        <v>Completado</v>
      </c>
      <c r="H9" s="46" t="s">
        <v>965</v>
      </c>
      <c r="I9" s="46" t="str">
        <f t="shared" si="1"/>
        <v/>
      </c>
      <c r="J9" s="46" t="str">
        <f t="shared" si="1"/>
        <v>PLAN</v>
      </c>
      <c r="K9" s="46" t="str">
        <f t="shared" si="1"/>
        <v/>
      </c>
      <c r="L9" s="46" t="str">
        <f t="shared" si="1"/>
        <v/>
      </c>
      <c r="M9" s="46" t="str">
        <f t="shared" si="1"/>
        <v/>
      </c>
      <c r="N9" s="46" t="str">
        <f t="shared" si="1"/>
        <v/>
      </c>
      <c r="O9" s="46" t="str">
        <f t="shared" si="1"/>
        <v/>
      </c>
      <c r="P9" s="46" t="str">
        <f t="shared" si="1"/>
        <v/>
      </c>
      <c r="Q9" s="46" t="str">
        <f t="shared" si="1"/>
        <v/>
      </c>
      <c r="R9" s="46" t="str">
        <f t="shared" si="1"/>
        <v/>
      </c>
      <c r="S9" s="46" t="str">
        <f t="shared" si="2"/>
        <v/>
      </c>
      <c r="T9" s="46" t="str">
        <f t="shared" si="2"/>
        <v/>
      </c>
      <c r="U9" s="46" t="str">
        <f t="shared" si="2"/>
        <v/>
      </c>
      <c r="V9" s="46" t="str">
        <f t="shared" si="2"/>
        <v/>
      </c>
      <c r="W9" s="46" t="str">
        <f t="shared" si="2"/>
        <v/>
      </c>
      <c r="X9" s="46" t="str">
        <f t="shared" si="2"/>
        <v/>
      </c>
      <c r="Y9" s="46" t="str">
        <f t="shared" si="2"/>
        <v/>
      </c>
      <c r="Z9" s="46" t="str">
        <f t="shared" si="2"/>
        <v/>
      </c>
    </row>
    <row r="10" spans="1:26" ht="78.75" customHeight="1">
      <c r="A10" s="77" t="s">
        <v>966</v>
      </c>
      <c r="B10" s="77" t="s">
        <v>44</v>
      </c>
      <c r="C10" s="46" t="s">
        <v>967</v>
      </c>
      <c r="D10" s="46" t="s">
        <v>968</v>
      </c>
      <c r="E10" s="47">
        <v>3</v>
      </c>
      <c r="F10" s="47">
        <v>3</v>
      </c>
      <c r="G10" s="47" t="s">
        <v>1013</v>
      </c>
      <c r="H10" s="46" t="s">
        <v>969</v>
      </c>
      <c r="I10" s="46" t="str">
        <f t="shared" si="1"/>
        <v/>
      </c>
      <c r="J10" s="46" t="str">
        <f t="shared" si="1"/>
        <v/>
      </c>
      <c r="K10" s="46" t="str">
        <f t="shared" si="1"/>
        <v>PLAN</v>
      </c>
      <c r="L10" s="46" t="str">
        <f t="shared" si="1"/>
        <v>PLAN</v>
      </c>
      <c r="M10" s="46" t="str">
        <f t="shared" si="1"/>
        <v>PLAN</v>
      </c>
      <c r="N10" s="46" t="str">
        <f t="shared" si="1"/>
        <v/>
      </c>
      <c r="O10" s="46" t="str">
        <f t="shared" si="1"/>
        <v/>
      </c>
      <c r="P10" s="46" t="str">
        <f t="shared" si="1"/>
        <v/>
      </c>
      <c r="Q10" s="46" t="str">
        <f t="shared" si="1"/>
        <v/>
      </c>
      <c r="R10" s="46" t="str">
        <f t="shared" si="1"/>
        <v/>
      </c>
      <c r="S10" s="46" t="str">
        <f t="shared" si="2"/>
        <v/>
      </c>
      <c r="T10" s="46" t="str">
        <f t="shared" si="2"/>
        <v/>
      </c>
      <c r="U10" s="46" t="str">
        <f t="shared" si="2"/>
        <v/>
      </c>
      <c r="V10" s="46" t="str">
        <f t="shared" si="2"/>
        <v/>
      </c>
      <c r="W10" s="46" t="str">
        <f t="shared" si="2"/>
        <v/>
      </c>
      <c r="X10" s="46" t="str">
        <f t="shared" si="2"/>
        <v/>
      </c>
      <c r="Y10" s="46" t="str">
        <f t="shared" si="2"/>
        <v/>
      </c>
      <c r="Z10" s="46" t="str">
        <f t="shared" si="2"/>
        <v/>
      </c>
    </row>
    <row r="11" spans="1:26" ht="90.75" customHeight="1">
      <c r="A11" s="77" t="s">
        <v>974</v>
      </c>
      <c r="B11" s="77" t="s">
        <v>74</v>
      </c>
      <c r="C11" s="46" t="s">
        <v>975</v>
      </c>
      <c r="D11" s="46" t="s">
        <v>976</v>
      </c>
      <c r="E11" s="47">
        <v>4</v>
      </c>
      <c r="F11" s="47">
        <v>4</v>
      </c>
      <c r="G11" s="47" t="str">
        <f>IF(E11+F11-1&lt;$B$3,"Completado",IF(AND(E11&lt;=$B$3,E11+F11-1&gt;=$B$3),"En progreso","Pendiente"))</f>
        <v>En progreso</v>
      </c>
      <c r="H11" s="46" t="s">
        <v>977</v>
      </c>
      <c r="I11" s="46" t="str">
        <f t="shared" ref="I11:R12" si="3">IF(AND(I$5&gt;=$E11,I$5&lt;$E11+$F11),"PLAN","")</f>
        <v/>
      </c>
      <c r="J11" s="46" t="str">
        <f t="shared" si="3"/>
        <v/>
      </c>
      <c r="K11" s="46" t="str">
        <f t="shared" si="3"/>
        <v/>
      </c>
      <c r="L11" s="46" t="str">
        <f t="shared" si="3"/>
        <v>PLAN</v>
      </c>
      <c r="M11" s="46" t="str">
        <f t="shared" si="3"/>
        <v>PLAN</v>
      </c>
      <c r="N11" s="46" t="str">
        <f t="shared" si="3"/>
        <v>PLAN</v>
      </c>
      <c r="O11" s="46" t="str">
        <f t="shared" si="3"/>
        <v>PLAN</v>
      </c>
      <c r="P11" s="46" t="str">
        <f t="shared" si="3"/>
        <v/>
      </c>
      <c r="Q11" s="46" t="str">
        <f t="shared" si="3"/>
        <v/>
      </c>
      <c r="R11" s="46" t="str">
        <f t="shared" si="3"/>
        <v/>
      </c>
      <c r="S11" s="46" t="str">
        <f t="shared" si="2"/>
        <v/>
      </c>
      <c r="T11" s="46" t="str">
        <f t="shared" si="2"/>
        <v/>
      </c>
      <c r="U11" s="46" t="str">
        <f t="shared" si="2"/>
        <v/>
      </c>
      <c r="V11" s="46" t="str">
        <f t="shared" si="2"/>
        <v/>
      </c>
      <c r="W11" s="46" t="str">
        <f t="shared" si="2"/>
        <v/>
      </c>
      <c r="X11" s="46" t="str">
        <f t="shared" si="2"/>
        <v/>
      </c>
      <c r="Y11" s="46" t="str">
        <f t="shared" si="2"/>
        <v/>
      </c>
      <c r="Z11" s="46" t="str">
        <f t="shared" si="2"/>
        <v/>
      </c>
    </row>
    <row r="12" spans="1:26" ht="100.5" customHeight="1">
      <c r="A12" s="77" t="s">
        <v>978</v>
      </c>
      <c r="B12" s="77" t="s">
        <v>74</v>
      </c>
      <c r="C12" s="46" t="s">
        <v>979</v>
      </c>
      <c r="D12" s="46" t="s">
        <v>980</v>
      </c>
      <c r="E12" s="47">
        <v>7</v>
      </c>
      <c r="F12" s="47">
        <v>4</v>
      </c>
      <c r="G12" s="47" t="str">
        <f>IF(E12+F12-1&lt;$B$3,"Completado",IF(AND(E12&lt;=$B$3,E12+F12-1&gt;=$B$3),"En progreso","Pendiente"))</f>
        <v>Pendiente</v>
      </c>
      <c r="H12" s="46" t="s">
        <v>981</v>
      </c>
      <c r="I12" s="46" t="str">
        <f t="shared" si="3"/>
        <v/>
      </c>
      <c r="J12" s="46" t="str">
        <f t="shared" si="3"/>
        <v/>
      </c>
      <c r="K12" s="46" t="str">
        <f t="shared" si="3"/>
        <v/>
      </c>
      <c r="L12" s="46" t="str">
        <f t="shared" si="3"/>
        <v/>
      </c>
      <c r="M12" s="46" t="str">
        <f t="shared" si="3"/>
        <v/>
      </c>
      <c r="N12" s="46" t="str">
        <f t="shared" si="3"/>
        <v/>
      </c>
      <c r="O12" s="46" t="str">
        <f t="shared" si="3"/>
        <v>PLAN</v>
      </c>
      <c r="P12" s="46" t="str">
        <f t="shared" si="3"/>
        <v>PLAN</v>
      </c>
      <c r="Q12" s="46" t="str">
        <f t="shared" si="3"/>
        <v>PLAN</v>
      </c>
      <c r="R12" s="46" t="str">
        <f t="shared" si="3"/>
        <v>PLAN</v>
      </c>
      <c r="S12" s="46" t="str">
        <f t="shared" si="2"/>
        <v/>
      </c>
      <c r="T12" s="46" t="str">
        <f t="shared" si="2"/>
        <v/>
      </c>
      <c r="U12" s="46" t="str">
        <f t="shared" si="2"/>
        <v/>
      </c>
      <c r="V12" s="46" t="str">
        <f t="shared" si="2"/>
        <v/>
      </c>
      <c r="W12" s="46" t="str">
        <f t="shared" si="2"/>
        <v/>
      </c>
      <c r="X12" s="46" t="str">
        <f t="shared" si="2"/>
        <v/>
      </c>
      <c r="Y12" s="46" t="str">
        <f t="shared" si="2"/>
        <v/>
      </c>
      <c r="Z12" s="46" t="str">
        <f t="shared" si="2"/>
        <v/>
      </c>
    </row>
    <row r="13" spans="1:26" ht="91.5" customHeight="1">
      <c r="A13" s="77" t="s">
        <v>970</v>
      </c>
      <c r="B13" s="77" t="s">
        <v>101</v>
      </c>
      <c r="C13" s="46" t="s">
        <v>971</v>
      </c>
      <c r="D13" s="46" t="s">
        <v>972</v>
      </c>
      <c r="E13" s="47">
        <v>10</v>
      </c>
      <c r="F13" s="47">
        <v>5</v>
      </c>
      <c r="G13" s="47" t="str">
        <f t="shared" si="0"/>
        <v>Pendiente</v>
      </c>
      <c r="H13" s="46" t="s">
        <v>973</v>
      </c>
      <c r="I13" s="46" t="str">
        <f t="shared" si="1"/>
        <v/>
      </c>
      <c r="J13" s="46" t="str">
        <f t="shared" si="1"/>
        <v/>
      </c>
      <c r="K13" s="46" t="str">
        <f t="shared" si="1"/>
        <v/>
      </c>
      <c r="L13" s="46" t="str">
        <f t="shared" si="1"/>
        <v/>
      </c>
      <c r="M13" s="46" t="str">
        <f t="shared" si="1"/>
        <v/>
      </c>
      <c r="N13" s="46" t="str">
        <f t="shared" si="1"/>
        <v/>
      </c>
      <c r="O13" s="46" t="str">
        <f t="shared" si="1"/>
        <v/>
      </c>
      <c r="P13" s="46" t="str">
        <f t="shared" si="1"/>
        <v/>
      </c>
      <c r="Q13" s="46" t="str">
        <f t="shared" si="1"/>
        <v/>
      </c>
      <c r="R13" s="46" t="str">
        <f t="shared" si="1"/>
        <v>PLAN</v>
      </c>
      <c r="S13" s="46" t="str">
        <f t="shared" si="2"/>
        <v>PLAN</v>
      </c>
      <c r="T13" s="46" t="str">
        <f t="shared" si="2"/>
        <v>PLAN</v>
      </c>
      <c r="U13" s="46" t="str">
        <f t="shared" si="2"/>
        <v>PLAN</v>
      </c>
      <c r="V13" s="46" t="str">
        <f t="shared" si="2"/>
        <v>PLAN</v>
      </c>
      <c r="W13" s="46" t="str">
        <f t="shared" si="2"/>
        <v/>
      </c>
      <c r="X13" s="46" t="str">
        <f t="shared" si="2"/>
        <v/>
      </c>
      <c r="Y13" s="46" t="str">
        <f t="shared" si="2"/>
        <v/>
      </c>
      <c r="Z13" s="46" t="str">
        <f t="shared" si="2"/>
        <v/>
      </c>
    </row>
    <row r="14" spans="1:26" ht="84.75" customHeight="1">
      <c r="A14" s="77" t="s">
        <v>982</v>
      </c>
      <c r="B14" s="77" t="s">
        <v>101</v>
      </c>
      <c r="C14" s="46" t="s">
        <v>983</v>
      </c>
      <c r="D14" s="46" t="s">
        <v>984</v>
      </c>
      <c r="E14" s="47">
        <v>13</v>
      </c>
      <c r="F14" s="47">
        <v>3</v>
      </c>
      <c r="G14" s="47" t="str">
        <f t="shared" si="0"/>
        <v>Pendiente</v>
      </c>
      <c r="H14" s="46" t="s">
        <v>985</v>
      </c>
      <c r="I14" s="46" t="str">
        <f t="shared" si="1"/>
        <v/>
      </c>
      <c r="J14" s="46" t="str">
        <f t="shared" si="1"/>
        <v/>
      </c>
      <c r="K14" s="46" t="str">
        <f t="shared" si="1"/>
        <v/>
      </c>
      <c r="L14" s="46" t="str">
        <f t="shared" si="1"/>
        <v/>
      </c>
      <c r="M14" s="46" t="str">
        <f t="shared" si="1"/>
        <v/>
      </c>
      <c r="N14" s="46" t="str">
        <f t="shared" si="1"/>
        <v/>
      </c>
      <c r="O14" s="46" t="str">
        <f t="shared" si="1"/>
        <v/>
      </c>
      <c r="P14" s="46" t="str">
        <f t="shared" si="1"/>
        <v/>
      </c>
      <c r="Q14" s="46" t="str">
        <f t="shared" si="1"/>
        <v/>
      </c>
      <c r="R14" s="46" t="str">
        <f t="shared" si="1"/>
        <v/>
      </c>
      <c r="S14" s="46" t="str">
        <f t="shared" si="2"/>
        <v/>
      </c>
      <c r="T14" s="46" t="str">
        <f t="shared" si="2"/>
        <v/>
      </c>
      <c r="U14" s="46" t="str">
        <f t="shared" si="2"/>
        <v>PLAN</v>
      </c>
      <c r="V14" s="46" t="str">
        <f t="shared" si="2"/>
        <v>PLAN</v>
      </c>
      <c r="W14" s="46" t="str">
        <f t="shared" si="2"/>
        <v>PLAN</v>
      </c>
      <c r="X14" s="46" t="str">
        <f t="shared" si="2"/>
        <v/>
      </c>
      <c r="Y14" s="46" t="str">
        <f t="shared" si="2"/>
        <v/>
      </c>
      <c r="Z14" s="46" t="str">
        <f t="shared" si="2"/>
        <v/>
      </c>
    </row>
    <row r="15" spans="1:26" ht="56.25" customHeight="1">
      <c r="A15" s="77" t="s">
        <v>986</v>
      </c>
      <c r="B15" s="77" t="s">
        <v>135</v>
      </c>
      <c r="C15" s="46" t="s">
        <v>987</v>
      </c>
      <c r="D15" s="46" t="s">
        <v>988</v>
      </c>
      <c r="E15" s="47">
        <v>13</v>
      </c>
      <c r="F15" s="47">
        <v>4</v>
      </c>
      <c r="G15" s="47" t="str">
        <f t="shared" si="0"/>
        <v>Pendiente</v>
      </c>
      <c r="H15" s="46" t="s">
        <v>744</v>
      </c>
      <c r="I15" s="46" t="str">
        <f t="shared" si="1"/>
        <v/>
      </c>
      <c r="J15" s="46" t="str">
        <f t="shared" si="1"/>
        <v/>
      </c>
      <c r="K15" s="46" t="str">
        <f t="shared" si="1"/>
        <v/>
      </c>
      <c r="L15" s="46" t="str">
        <f t="shared" si="1"/>
        <v/>
      </c>
      <c r="M15" s="46" t="str">
        <f t="shared" si="1"/>
        <v/>
      </c>
      <c r="N15" s="46" t="str">
        <f t="shared" si="1"/>
        <v/>
      </c>
      <c r="O15" s="46" t="str">
        <f t="shared" si="1"/>
        <v/>
      </c>
      <c r="P15" s="46" t="str">
        <f t="shared" si="1"/>
        <v/>
      </c>
      <c r="Q15" s="46" t="str">
        <f t="shared" si="1"/>
        <v/>
      </c>
      <c r="R15" s="46" t="str">
        <f t="shared" si="1"/>
        <v/>
      </c>
      <c r="S15" s="46" t="str">
        <f t="shared" si="2"/>
        <v/>
      </c>
      <c r="T15" s="46" t="str">
        <f t="shared" si="2"/>
        <v/>
      </c>
      <c r="U15" s="46" t="str">
        <f t="shared" si="2"/>
        <v>PLAN</v>
      </c>
      <c r="V15" s="46" t="str">
        <f t="shared" si="2"/>
        <v>PLAN</v>
      </c>
      <c r="W15" s="46" t="str">
        <f t="shared" si="2"/>
        <v>PLAN</v>
      </c>
      <c r="X15" s="46" t="str">
        <f t="shared" si="2"/>
        <v>PLAN</v>
      </c>
      <c r="Y15" s="46" t="str">
        <f t="shared" si="2"/>
        <v/>
      </c>
      <c r="Z15" s="46" t="str">
        <f t="shared" si="2"/>
        <v/>
      </c>
    </row>
    <row r="16" spans="1:26">
      <c r="A16" s="77" t="s">
        <v>989</v>
      </c>
      <c r="B16" s="77" t="s">
        <v>990</v>
      </c>
      <c r="C16" s="46" t="s">
        <v>991</v>
      </c>
      <c r="D16" s="46" t="s">
        <v>950</v>
      </c>
      <c r="E16" s="47">
        <v>5</v>
      </c>
      <c r="F16" s="47">
        <v>12</v>
      </c>
      <c r="G16" s="47" t="str">
        <f t="shared" si="0"/>
        <v>En progreso</v>
      </c>
      <c r="H16" s="46" t="s">
        <v>992</v>
      </c>
      <c r="I16" s="46" t="str">
        <f t="shared" si="1"/>
        <v/>
      </c>
      <c r="J16" s="46" t="str">
        <f t="shared" si="1"/>
        <v/>
      </c>
      <c r="K16" s="46" t="str">
        <f t="shared" si="1"/>
        <v/>
      </c>
      <c r="L16" s="46" t="str">
        <f t="shared" si="1"/>
        <v/>
      </c>
      <c r="M16" s="46" t="str">
        <f t="shared" si="1"/>
        <v>PLAN</v>
      </c>
      <c r="N16" s="46" t="str">
        <f t="shared" si="1"/>
        <v>PLAN</v>
      </c>
      <c r="O16" s="46" t="str">
        <f t="shared" si="1"/>
        <v>PLAN</v>
      </c>
      <c r="P16" s="46" t="str">
        <f t="shared" si="1"/>
        <v>PLAN</v>
      </c>
      <c r="Q16" s="46" t="str">
        <f t="shared" si="1"/>
        <v>PLAN</v>
      </c>
      <c r="R16" s="46" t="str">
        <f t="shared" si="1"/>
        <v>PLAN</v>
      </c>
      <c r="S16" s="46" t="str">
        <f t="shared" si="2"/>
        <v>PLAN</v>
      </c>
      <c r="T16" s="46" t="str">
        <f t="shared" si="2"/>
        <v>PLAN</v>
      </c>
      <c r="U16" s="46" t="str">
        <f t="shared" si="2"/>
        <v>PLAN</v>
      </c>
      <c r="V16" s="46" t="str">
        <f t="shared" si="2"/>
        <v>PLAN</v>
      </c>
      <c r="W16" s="46" t="str">
        <f t="shared" si="2"/>
        <v>PLAN</v>
      </c>
      <c r="X16" s="46" t="str">
        <f t="shared" si="2"/>
        <v>PLAN</v>
      </c>
      <c r="Y16" s="46" t="str">
        <f t="shared" si="2"/>
        <v/>
      </c>
      <c r="Z16" s="46" t="str">
        <f t="shared" si="2"/>
        <v/>
      </c>
    </row>
    <row r="17" spans="1:26" ht="25.5">
      <c r="A17" s="77" t="s">
        <v>993</v>
      </c>
      <c r="B17" s="77" t="s">
        <v>994</v>
      </c>
      <c r="C17" s="46" t="s">
        <v>995</v>
      </c>
      <c r="D17" s="46" t="s">
        <v>996</v>
      </c>
      <c r="E17" s="47">
        <v>5</v>
      </c>
      <c r="F17" s="47">
        <v>12</v>
      </c>
      <c r="G17" s="47" t="str">
        <f t="shared" si="0"/>
        <v>En progreso</v>
      </c>
      <c r="H17" s="46" t="s">
        <v>997</v>
      </c>
      <c r="I17" s="46" t="str">
        <f t="shared" si="1"/>
        <v/>
      </c>
      <c r="J17" s="46" t="str">
        <f t="shared" si="1"/>
        <v/>
      </c>
      <c r="K17" s="46" t="str">
        <f t="shared" si="1"/>
        <v/>
      </c>
      <c r="L17" s="46" t="str">
        <f t="shared" si="1"/>
        <v/>
      </c>
      <c r="M17" s="46" t="str">
        <f t="shared" si="1"/>
        <v>PLAN</v>
      </c>
      <c r="N17" s="46" t="str">
        <f t="shared" si="1"/>
        <v>PLAN</v>
      </c>
      <c r="O17" s="46" t="str">
        <f t="shared" si="1"/>
        <v>PLAN</v>
      </c>
      <c r="P17" s="46" t="str">
        <f t="shared" si="1"/>
        <v>PLAN</v>
      </c>
      <c r="Q17" s="46" t="str">
        <f t="shared" si="1"/>
        <v>PLAN</v>
      </c>
      <c r="R17" s="46" t="str">
        <f t="shared" si="1"/>
        <v>PLAN</v>
      </c>
      <c r="S17" s="46" t="str">
        <f t="shared" si="2"/>
        <v>PLAN</v>
      </c>
      <c r="T17" s="46" t="str">
        <f t="shared" si="2"/>
        <v>PLAN</v>
      </c>
      <c r="U17" s="46" t="str">
        <f t="shared" si="2"/>
        <v>PLAN</v>
      </c>
      <c r="V17" s="46" t="str">
        <f t="shared" si="2"/>
        <v>PLAN</v>
      </c>
      <c r="W17" s="46" t="str">
        <f t="shared" si="2"/>
        <v>PLAN</v>
      </c>
      <c r="X17" s="46" t="str">
        <f t="shared" si="2"/>
        <v>PLAN</v>
      </c>
      <c r="Y17" s="46" t="str">
        <f t="shared" si="2"/>
        <v/>
      </c>
      <c r="Z17" s="46" t="str">
        <f t="shared" si="2"/>
        <v/>
      </c>
    </row>
    <row r="18" spans="1:26" ht="25.5">
      <c r="A18" s="77" t="s">
        <v>998</v>
      </c>
      <c r="B18" s="77" t="s">
        <v>999</v>
      </c>
      <c r="C18" s="46" t="s">
        <v>1000</v>
      </c>
      <c r="D18" s="46" t="s">
        <v>1001</v>
      </c>
      <c r="E18" s="47">
        <v>17</v>
      </c>
      <c r="F18" s="47">
        <v>1</v>
      </c>
      <c r="G18" s="47" t="str">
        <f t="shared" si="0"/>
        <v>Pendiente</v>
      </c>
      <c r="H18" s="46" t="s">
        <v>1002</v>
      </c>
      <c r="I18" s="46" t="str">
        <f t="shared" si="1"/>
        <v/>
      </c>
      <c r="J18" s="46" t="str">
        <f t="shared" si="1"/>
        <v/>
      </c>
      <c r="K18" s="46" t="str">
        <f t="shared" si="1"/>
        <v/>
      </c>
      <c r="L18" s="46" t="str">
        <f t="shared" si="1"/>
        <v/>
      </c>
      <c r="M18" s="46" t="str">
        <f t="shared" si="1"/>
        <v/>
      </c>
      <c r="N18" s="46" t="str">
        <f t="shared" si="1"/>
        <v/>
      </c>
      <c r="O18" s="46" t="str">
        <f t="shared" si="1"/>
        <v/>
      </c>
      <c r="P18" s="46" t="str">
        <f t="shared" si="1"/>
        <v/>
      </c>
      <c r="Q18" s="46" t="str">
        <f t="shared" si="1"/>
        <v/>
      </c>
      <c r="R18" s="46" t="str">
        <f t="shared" si="1"/>
        <v/>
      </c>
      <c r="S18" s="46" t="str">
        <f t="shared" si="2"/>
        <v/>
      </c>
      <c r="T18" s="46" t="str">
        <f t="shared" si="2"/>
        <v/>
      </c>
      <c r="U18" s="46" t="str">
        <f t="shared" si="2"/>
        <v/>
      </c>
      <c r="V18" s="46" t="str">
        <f t="shared" si="2"/>
        <v/>
      </c>
      <c r="W18" s="46" t="str">
        <f t="shared" si="2"/>
        <v/>
      </c>
      <c r="X18" s="46" t="str">
        <f t="shared" si="2"/>
        <v/>
      </c>
      <c r="Y18" s="46" t="str">
        <f t="shared" si="2"/>
        <v>PLAN</v>
      </c>
      <c r="Z18" s="46" t="str">
        <f t="shared" si="2"/>
        <v/>
      </c>
    </row>
    <row r="19" spans="1:26" ht="25.5">
      <c r="A19" s="77" t="s">
        <v>1003</v>
      </c>
      <c r="B19" s="77" t="s">
        <v>999</v>
      </c>
      <c r="C19" s="46" t="s">
        <v>1004</v>
      </c>
      <c r="D19" s="46" t="s">
        <v>950</v>
      </c>
      <c r="E19" s="47">
        <v>17</v>
      </c>
      <c r="F19" s="47">
        <v>1</v>
      </c>
      <c r="G19" s="47" t="str">
        <f t="shared" si="0"/>
        <v>Pendiente</v>
      </c>
      <c r="H19" s="46" t="s">
        <v>1005</v>
      </c>
      <c r="I19" s="46" t="str">
        <f t="shared" si="1"/>
        <v/>
      </c>
      <c r="J19" s="46" t="str">
        <f t="shared" si="1"/>
        <v/>
      </c>
      <c r="K19" s="46" t="str">
        <f t="shared" si="1"/>
        <v/>
      </c>
      <c r="L19" s="46" t="str">
        <f t="shared" si="1"/>
        <v/>
      </c>
      <c r="M19" s="46" t="str">
        <f t="shared" si="1"/>
        <v/>
      </c>
      <c r="N19" s="46" t="str">
        <f t="shared" si="1"/>
        <v/>
      </c>
      <c r="O19" s="46" t="str">
        <f t="shared" si="1"/>
        <v/>
      </c>
      <c r="P19" s="46" t="str">
        <f t="shared" si="1"/>
        <v/>
      </c>
      <c r="Q19" s="46" t="str">
        <f t="shared" si="1"/>
        <v/>
      </c>
      <c r="R19" s="46" t="str">
        <f t="shared" si="1"/>
        <v/>
      </c>
      <c r="S19" s="46" t="str">
        <f t="shared" si="2"/>
        <v/>
      </c>
      <c r="T19" s="46" t="str">
        <f t="shared" si="2"/>
        <v/>
      </c>
      <c r="U19" s="46" t="str">
        <f t="shared" si="2"/>
        <v/>
      </c>
      <c r="V19" s="46" t="str">
        <f t="shared" si="2"/>
        <v/>
      </c>
      <c r="W19" s="46" t="str">
        <f t="shared" si="2"/>
        <v/>
      </c>
      <c r="X19" s="46" t="str">
        <f t="shared" si="2"/>
        <v/>
      </c>
      <c r="Y19" s="46" t="str">
        <f t="shared" si="2"/>
        <v>PLAN</v>
      </c>
      <c r="Z19" s="46" t="str">
        <f t="shared" si="2"/>
        <v/>
      </c>
    </row>
    <row r="20" spans="1:26" ht="25.5">
      <c r="A20" s="77" t="s">
        <v>1006</v>
      </c>
      <c r="B20" s="77" t="s">
        <v>999</v>
      </c>
      <c r="C20" s="46" t="s">
        <v>1007</v>
      </c>
      <c r="D20" s="46" t="s">
        <v>1001</v>
      </c>
      <c r="E20" s="47">
        <v>17</v>
      </c>
      <c r="F20" s="47">
        <v>1</v>
      </c>
      <c r="G20" s="47" t="str">
        <f t="shared" si="0"/>
        <v>Pendiente</v>
      </c>
      <c r="H20" s="46" t="s">
        <v>1008</v>
      </c>
      <c r="I20" s="46" t="str">
        <f t="shared" si="1"/>
        <v/>
      </c>
      <c r="J20" s="46" t="str">
        <f t="shared" si="1"/>
        <v/>
      </c>
      <c r="K20" s="46" t="str">
        <f t="shared" si="1"/>
        <v/>
      </c>
      <c r="L20" s="46" t="str">
        <f t="shared" si="1"/>
        <v/>
      </c>
      <c r="M20" s="46" t="str">
        <f t="shared" si="1"/>
        <v/>
      </c>
      <c r="N20" s="46" t="str">
        <f t="shared" si="1"/>
        <v/>
      </c>
      <c r="O20" s="46" t="str">
        <f t="shared" si="1"/>
        <v/>
      </c>
      <c r="P20" s="46" t="str">
        <f t="shared" si="1"/>
        <v/>
      </c>
      <c r="Q20" s="46" t="str">
        <f t="shared" si="1"/>
        <v/>
      </c>
      <c r="R20" s="46" t="str">
        <f t="shared" si="1"/>
        <v/>
      </c>
      <c r="S20" s="46" t="str">
        <f t="shared" si="2"/>
        <v/>
      </c>
      <c r="T20" s="46" t="str">
        <f t="shared" si="2"/>
        <v/>
      </c>
      <c r="U20" s="46" t="str">
        <f t="shared" si="2"/>
        <v/>
      </c>
      <c r="V20" s="46" t="str">
        <f t="shared" si="2"/>
        <v/>
      </c>
      <c r="W20" s="46" t="str">
        <f t="shared" si="2"/>
        <v/>
      </c>
      <c r="X20" s="46" t="str">
        <f t="shared" si="2"/>
        <v/>
      </c>
      <c r="Y20" s="46" t="str">
        <f t="shared" si="2"/>
        <v>PLAN</v>
      </c>
      <c r="Z20" s="46" t="str">
        <f t="shared" si="2"/>
        <v/>
      </c>
    </row>
    <row r="21" spans="1:26">
      <c r="A21" s="79" t="s">
        <v>1009</v>
      </c>
      <c r="B21" s="79" t="s">
        <v>1010</v>
      </c>
      <c r="C21" s="49" t="s">
        <v>1011</v>
      </c>
      <c r="D21" s="49" t="s">
        <v>1001</v>
      </c>
      <c r="E21" s="50">
        <v>18</v>
      </c>
      <c r="F21" s="50">
        <v>1</v>
      </c>
      <c r="G21" s="50" t="str">
        <f t="shared" si="0"/>
        <v>Pendiente</v>
      </c>
      <c r="H21" s="49" t="s">
        <v>1012</v>
      </c>
      <c r="I21" s="49" t="str">
        <f t="shared" si="1"/>
        <v/>
      </c>
      <c r="J21" s="49" t="str">
        <f t="shared" si="1"/>
        <v/>
      </c>
      <c r="K21" s="49" t="str">
        <f t="shared" si="1"/>
        <v/>
      </c>
      <c r="L21" s="49" t="str">
        <f t="shared" si="1"/>
        <v/>
      </c>
      <c r="M21" s="49" t="str">
        <f t="shared" si="1"/>
        <v/>
      </c>
      <c r="N21" s="49" t="str">
        <f t="shared" si="1"/>
        <v/>
      </c>
      <c r="O21" s="49" t="str">
        <f t="shared" si="1"/>
        <v/>
      </c>
      <c r="P21" s="49" t="str">
        <f t="shared" si="1"/>
        <v/>
      </c>
      <c r="Q21" s="49" t="str">
        <f t="shared" si="1"/>
        <v/>
      </c>
      <c r="R21" s="49" t="str">
        <f t="shared" si="1"/>
        <v/>
      </c>
      <c r="S21" s="49" t="str">
        <f t="shared" si="2"/>
        <v/>
      </c>
      <c r="T21" s="49" t="str">
        <f t="shared" si="2"/>
        <v/>
      </c>
      <c r="U21" s="49" t="str">
        <f t="shared" si="2"/>
        <v/>
      </c>
      <c r="V21" s="49" t="str">
        <f t="shared" si="2"/>
        <v/>
      </c>
      <c r="W21" s="49" t="str">
        <f t="shared" si="2"/>
        <v/>
      </c>
      <c r="X21" s="49" t="str">
        <f t="shared" si="2"/>
        <v/>
      </c>
      <c r="Y21" s="49" t="str">
        <f t="shared" si="2"/>
        <v/>
      </c>
      <c r="Z21" s="49" t="str">
        <f t="shared" si="2"/>
        <v>PLAN</v>
      </c>
    </row>
  </sheetData>
  <mergeCells count="3">
    <mergeCell ref="A1:Z1"/>
    <mergeCell ref="A2:Z2"/>
    <mergeCell ref="G3:H3"/>
  </mergeCells>
  <conditionalFormatting sqref="G6:G21">
    <cfRule type="containsText" dxfId="3" priority="1" operator="containsText" text="Completado"/>
    <cfRule type="containsText" dxfId="2" priority="2" operator="containsText" text="En progreso"/>
    <cfRule type="containsText" dxfId="1" priority="3" operator="containsText" text="Pendiente"/>
  </conditionalFormatting>
  <conditionalFormatting sqref="I6:Z21">
    <cfRule type="containsText" dxfId="0" priority="4" operator="containsText" text="PLAN"/>
  </conditionalFormatting>
  <dataValidations count="1">
    <dataValidation type="list" sqref="G6:G13 G14:G21" xr:uid="{45DD9619-5158-4B4C-A12A-D44ADB26367E}">
      <formula1>"Completado,En progreso,Pendiente,Bloqueado"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0B65-8C7A-4880-A288-D7752DFDBF20}">
  <dimension ref="A1:G28"/>
  <sheetViews>
    <sheetView workbookViewId="0">
      <pane ySplit="3" topLeftCell="A19" activePane="bottomLeft" state="frozen"/>
      <selection pane="bottomLeft" activeCell="A4" sqref="A4:G9"/>
    </sheetView>
  </sheetViews>
  <sheetFormatPr baseColWidth="10" defaultColWidth="9.140625" defaultRowHeight="15"/>
  <cols>
    <col min="1" max="1" width="12" style="87" customWidth="1"/>
    <col min="2" max="2" width="34" style="87" customWidth="1"/>
    <col min="3" max="3" width="14" style="87" customWidth="1"/>
    <col min="4" max="5" width="12" style="87" customWidth="1"/>
    <col min="6" max="7" width="62" style="87" customWidth="1"/>
    <col min="8" max="16384" width="9.140625" style="87"/>
  </cols>
  <sheetData>
    <row r="1" spans="1:7" ht="18.75">
      <c r="A1" s="136" t="s">
        <v>1015</v>
      </c>
      <c r="B1" s="136"/>
      <c r="C1" s="136"/>
      <c r="D1" s="136"/>
      <c r="E1" s="136"/>
      <c r="F1" s="136"/>
      <c r="G1" s="136"/>
    </row>
    <row r="2" spans="1:7">
      <c r="A2" s="135" t="s">
        <v>1016</v>
      </c>
      <c r="B2" s="135"/>
      <c r="C2" s="135"/>
      <c r="D2" s="135"/>
      <c r="E2" s="135"/>
      <c r="F2" s="135"/>
      <c r="G2" s="135"/>
    </row>
    <row r="3" spans="1:7">
      <c r="A3" s="95" t="s">
        <v>32</v>
      </c>
      <c r="B3" s="95" t="s">
        <v>1017</v>
      </c>
      <c r="C3" s="95" t="s">
        <v>1018</v>
      </c>
      <c r="D3" s="95" t="s">
        <v>1014</v>
      </c>
      <c r="E3" s="95" t="s">
        <v>1019</v>
      </c>
      <c r="F3" s="95" t="s">
        <v>1020</v>
      </c>
      <c r="G3" s="95" t="s">
        <v>1021</v>
      </c>
    </row>
    <row r="4" spans="1:7" ht="51" customHeight="1">
      <c r="A4" s="92" t="s">
        <v>1022</v>
      </c>
      <c r="B4" s="92" t="s">
        <v>1023</v>
      </c>
      <c r="C4" s="91" t="s">
        <v>1024</v>
      </c>
      <c r="D4" s="90" t="s">
        <v>1025</v>
      </c>
      <c r="E4" s="89" t="s">
        <v>1025</v>
      </c>
      <c r="F4" s="88" t="s">
        <v>1026</v>
      </c>
      <c r="G4" s="88" t="s">
        <v>1027</v>
      </c>
    </row>
    <row r="5" spans="1:7" ht="74.25" customHeight="1">
      <c r="A5" s="92" t="s">
        <v>1028</v>
      </c>
      <c r="B5" s="92" t="s">
        <v>1023</v>
      </c>
      <c r="C5" s="91" t="s">
        <v>1024</v>
      </c>
      <c r="D5" s="90" t="s">
        <v>1025</v>
      </c>
      <c r="E5" s="89" t="s">
        <v>1025</v>
      </c>
      <c r="F5" s="88" t="s">
        <v>1029</v>
      </c>
      <c r="G5" s="88" t="s">
        <v>1030</v>
      </c>
    </row>
    <row r="6" spans="1:7" ht="64.5" customHeight="1">
      <c r="A6" s="92" t="s">
        <v>1031</v>
      </c>
      <c r="B6" s="92" t="s">
        <v>1023</v>
      </c>
      <c r="C6" s="91" t="s">
        <v>1024</v>
      </c>
      <c r="D6" s="90" t="s">
        <v>1025</v>
      </c>
      <c r="E6" s="89" t="s">
        <v>1025</v>
      </c>
      <c r="F6" s="88" t="s">
        <v>1032</v>
      </c>
      <c r="G6" s="88" t="s">
        <v>1033</v>
      </c>
    </row>
    <row r="7" spans="1:7" ht="53.25" customHeight="1">
      <c r="A7" s="92" t="s">
        <v>1034</v>
      </c>
      <c r="B7" s="92" t="s">
        <v>1035</v>
      </c>
      <c r="C7" s="91" t="s">
        <v>1024</v>
      </c>
      <c r="D7" s="91" t="s">
        <v>1036</v>
      </c>
      <c r="E7" s="93" t="s">
        <v>1036</v>
      </c>
      <c r="F7" s="88" t="s">
        <v>1037</v>
      </c>
      <c r="G7" s="88" t="s">
        <v>1038</v>
      </c>
    </row>
    <row r="8" spans="1:7" ht="51.75" customHeight="1">
      <c r="A8" s="92" t="s">
        <v>1039</v>
      </c>
      <c r="B8" s="92" t="s">
        <v>1040</v>
      </c>
      <c r="C8" s="90" t="s">
        <v>1041</v>
      </c>
      <c r="D8" s="91" t="s">
        <v>1036</v>
      </c>
      <c r="E8" s="93" t="s">
        <v>1036</v>
      </c>
      <c r="F8" s="88" t="s">
        <v>1042</v>
      </c>
      <c r="G8" s="88" t="s">
        <v>1043</v>
      </c>
    </row>
    <row r="9" spans="1:7" ht="64.5" customHeight="1">
      <c r="A9" s="92" t="s">
        <v>1044</v>
      </c>
      <c r="B9" s="92" t="s">
        <v>1040</v>
      </c>
      <c r="C9" s="91" t="s">
        <v>1024</v>
      </c>
      <c r="D9" s="91" t="s">
        <v>1036</v>
      </c>
      <c r="E9" s="93" t="s">
        <v>1036</v>
      </c>
      <c r="F9" s="88" t="s">
        <v>1045</v>
      </c>
      <c r="G9" s="88" t="s">
        <v>1046</v>
      </c>
    </row>
    <row r="10" spans="1:7" ht="74.25" customHeight="1">
      <c r="A10" s="92" t="s">
        <v>1047</v>
      </c>
      <c r="B10" s="92" t="s">
        <v>1048</v>
      </c>
      <c r="C10" s="91" t="s">
        <v>1024</v>
      </c>
      <c r="D10" s="90" t="s">
        <v>1025</v>
      </c>
      <c r="E10" s="89" t="s">
        <v>1025</v>
      </c>
      <c r="F10" s="88" t="s">
        <v>1049</v>
      </c>
      <c r="G10" s="88" t="s">
        <v>1050</v>
      </c>
    </row>
    <row r="11" spans="1:7" ht="45">
      <c r="A11" s="92" t="s">
        <v>1051</v>
      </c>
      <c r="B11" s="92" t="s">
        <v>1052</v>
      </c>
      <c r="C11" s="91" t="s">
        <v>1024</v>
      </c>
      <c r="D11" s="90" t="s">
        <v>1025</v>
      </c>
      <c r="E11" s="89" t="s">
        <v>1025</v>
      </c>
      <c r="F11" s="88" t="s">
        <v>1053</v>
      </c>
      <c r="G11" s="88" t="s">
        <v>1054</v>
      </c>
    </row>
    <row r="12" spans="1:7" ht="45">
      <c r="A12" s="92" t="s">
        <v>1055</v>
      </c>
      <c r="B12" s="92" t="s">
        <v>1056</v>
      </c>
      <c r="C12" s="91" t="s">
        <v>1024</v>
      </c>
      <c r="D12" s="91" t="s">
        <v>1036</v>
      </c>
      <c r="E12" s="93" t="s">
        <v>1036</v>
      </c>
      <c r="F12" s="88" t="s">
        <v>1057</v>
      </c>
      <c r="G12" s="88" t="s">
        <v>1058</v>
      </c>
    </row>
    <row r="13" spans="1:7" ht="30">
      <c r="A13" s="92" t="s">
        <v>1059</v>
      </c>
      <c r="B13" s="92" t="s">
        <v>1060</v>
      </c>
      <c r="C13" s="94" t="s">
        <v>1061</v>
      </c>
      <c r="D13" s="91" t="s">
        <v>1036</v>
      </c>
      <c r="E13" s="93" t="s">
        <v>1036</v>
      </c>
      <c r="F13" s="88" t="s">
        <v>1062</v>
      </c>
      <c r="G13" s="88" t="s">
        <v>1063</v>
      </c>
    </row>
    <row r="14" spans="1:7" ht="30">
      <c r="A14" s="92" t="s">
        <v>1064</v>
      </c>
      <c r="B14" s="92" t="s">
        <v>1065</v>
      </c>
      <c r="C14" s="94" t="s">
        <v>1061</v>
      </c>
      <c r="D14" s="90" t="s">
        <v>1025</v>
      </c>
      <c r="E14" s="89" t="s">
        <v>1025</v>
      </c>
      <c r="F14" s="88" t="s">
        <v>1066</v>
      </c>
      <c r="G14" s="88" t="s">
        <v>1067</v>
      </c>
    </row>
    <row r="15" spans="1:7" ht="30">
      <c r="A15" s="92" t="s">
        <v>1068</v>
      </c>
      <c r="B15" s="92" t="s">
        <v>1069</v>
      </c>
      <c r="C15" s="91" t="s">
        <v>1024</v>
      </c>
      <c r="D15" s="90" t="s">
        <v>1025</v>
      </c>
      <c r="E15" s="89" t="s">
        <v>1025</v>
      </c>
      <c r="F15" s="88" t="s">
        <v>1070</v>
      </c>
      <c r="G15" s="88" t="s">
        <v>1071</v>
      </c>
    </row>
    <row r="16" spans="1:7" ht="30">
      <c r="A16" s="92" t="s">
        <v>1072</v>
      </c>
      <c r="B16" s="92" t="s">
        <v>1073</v>
      </c>
      <c r="C16" s="91" t="s">
        <v>1024</v>
      </c>
      <c r="D16" s="90" t="s">
        <v>1025</v>
      </c>
      <c r="E16" s="89" t="s">
        <v>1025</v>
      </c>
      <c r="F16" s="88" t="s">
        <v>1074</v>
      </c>
      <c r="G16" s="88" t="s">
        <v>1075</v>
      </c>
    </row>
    <row r="17" spans="1:7" ht="45">
      <c r="A17" s="92" t="s">
        <v>1076</v>
      </c>
      <c r="B17" s="92" t="s">
        <v>1073</v>
      </c>
      <c r="C17" s="91" t="s">
        <v>1024</v>
      </c>
      <c r="D17" s="91" t="s">
        <v>1036</v>
      </c>
      <c r="E17" s="93" t="s">
        <v>1036</v>
      </c>
      <c r="F17" s="88" t="s">
        <v>1077</v>
      </c>
      <c r="G17" s="88" t="s">
        <v>1078</v>
      </c>
    </row>
    <row r="18" spans="1:7" ht="30">
      <c r="A18" s="92" t="s">
        <v>1079</v>
      </c>
      <c r="B18" s="92" t="s">
        <v>1080</v>
      </c>
      <c r="C18" s="94" t="s">
        <v>1061</v>
      </c>
      <c r="D18" s="90" t="s">
        <v>1025</v>
      </c>
      <c r="E18" s="89" t="s">
        <v>1025</v>
      </c>
      <c r="F18" s="88" t="s">
        <v>1081</v>
      </c>
      <c r="G18" s="88" t="s">
        <v>1082</v>
      </c>
    </row>
    <row r="19" spans="1:7" ht="45">
      <c r="A19" s="92" t="s">
        <v>1083</v>
      </c>
      <c r="B19" s="92" t="s">
        <v>1084</v>
      </c>
      <c r="C19" s="91" t="s">
        <v>1024</v>
      </c>
      <c r="D19" s="90" t="s">
        <v>1025</v>
      </c>
      <c r="E19" s="89" t="s">
        <v>1025</v>
      </c>
      <c r="F19" s="88" t="s">
        <v>1085</v>
      </c>
      <c r="G19" s="88" t="s">
        <v>1086</v>
      </c>
    </row>
    <row r="20" spans="1:7" ht="30">
      <c r="A20" s="92" t="s">
        <v>1087</v>
      </c>
      <c r="B20" s="92" t="s">
        <v>1088</v>
      </c>
      <c r="C20" s="91" t="s">
        <v>1024</v>
      </c>
      <c r="D20" s="91" t="s">
        <v>1036</v>
      </c>
      <c r="E20" s="93" t="s">
        <v>1036</v>
      </c>
      <c r="F20" s="88" t="s">
        <v>1089</v>
      </c>
      <c r="G20" s="88" t="s">
        <v>1090</v>
      </c>
    </row>
    <row r="21" spans="1:7" ht="30">
      <c r="A21" s="92" t="s">
        <v>1091</v>
      </c>
      <c r="B21" s="92" t="s">
        <v>1092</v>
      </c>
      <c r="C21" s="91" t="s">
        <v>1024</v>
      </c>
      <c r="D21" s="90" t="s">
        <v>1025</v>
      </c>
      <c r="E21" s="89" t="s">
        <v>1025</v>
      </c>
      <c r="F21" s="88" t="s">
        <v>1093</v>
      </c>
      <c r="G21" s="88" t="s">
        <v>1094</v>
      </c>
    </row>
    <row r="22" spans="1:7" ht="45">
      <c r="A22" s="92" t="s">
        <v>1095</v>
      </c>
      <c r="B22" s="92" t="s">
        <v>1096</v>
      </c>
      <c r="C22" s="91" t="s">
        <v>1024</v>
      </c>
      <c r="D22" s="91" t="s">
        <v>1036</v>
      </c>
      <c r="E22" s="93" t="s">
        <v>1036</v>
      </c>
      <c r="F22" s="88" t="s">
        <v>1097</v>
      </c>
      <c r="G22" s="88" t="s">
        <v>1098</v>
      </c>
    </row>
    <row r="23" spans="1:7" ht="45">
      <c r="A23" s="92" t="s">
        <v>1099</v>
      </c>
      <c r="B23" s="92" t="s">
        <v>1100</v>
      </c>
      <c r="C23" s="90" t="s">
        <v>1041</v>
      </c>
      <c r="D23" s="91" t="s">
        <v>1036</v>
      </c>
      <c r="E23" s="93" t="s">
        <v>1036</v>
      </c>
      <c r="F23" s="88" t="s">
        <v>1101</v>
      </c>
      <c r="G23" s="88" t="s">
        <v>1102</v>
      </c>
    </row>
    <row r="24" spans="1:7" ht="30">
      <c r="A24" s="92" t="s">
        <v>1103</v>
      </c>
      <c r="B24" s="92" t="s">
        <v>1100</v>
      </c>
      <c r="C24" s="94" t="s">
        <v>1061</v>
      </c>
      <c r="D24" s="90" t="s">
        <v>1025</v>
      </c>
      <c r="E24" s="89" t="s">
        <v>1025</v>
      </c>
      <c r="F24" s="88" t="s">
        <v>1104</v>
      </c>
      <c r="G24" s="88" t="s">
        <v>1105</v>
      </c>
    </row>
    <row r="25" spans="1:7" ht="45">
      <c r="A25" s="92" t="s">
        <v>1106</v>
      </c>
      <c r="B25" s="92" t="s">
        <v>1107</v>
      </c>
      <c r="C25" s="94" t="s">
        <v>1061</v>
      </c>
      <c r="D25" s="90" t="s">
        <v>1025</v>
      </c>
      <c r="E25" s="89" t="s">
        <v>1025</v>
      </c>
      <c r="F25" s="88" t="s">
        <v>1108</v>
      </c>
      <c r="G25" s="88" t="s">
        <v>1109</v>
      </c>
    </row>
    <row r="26" spans="1:7" ht="30">
      <c r="A26" s="92" t="s">
        <v>1110</v>
      </c>
      <c r="B26" s="92" t="s">
        <v>1111</v>
      </c>
      <c r="C26" s="91" t="s">
        <v>1024</v>
      </c>
      <c r="D26" s="91" t="s">
        <v>1036</v>
      </c>
      <c r="E26" s="93" t="s">
        <v>1036</v>
      </c>
      <c r="F26" s="88" t="s">
        <v>1112</v>
      </c>
      <c r="G26" s="88" t="s">
        <v>1113</v>
      </c>
    </row>
    <row r="27" spans="1:7" ht="30">
      <c r="A27" s="92" t="s">
        <v>1114</v>
      </c>
      <c r="B27" s="92" t="s">
        <v>1115</v>
      </c>
      <c r="C27" s="91" t="s">
        <v>1024</v>
      </c>
      <c r="D27" s="91" t="s">
        <v>1036</v>
      </c>
      <c r="E27" s="93" t="s">
        <v>1036</v>
      </c>
      <c r="F27" s="88" t="s">
        <v>1116</v>
      </c>
      <c r="G27" s="88" t="s">
        <v>1117</v>
      </c>
    </row>
    <row r="28" spans="1:7" ht="45">
      <c r="A28" s="92" t="s">
        <v>1118</v>
      </c>
      <c r="B28" s="92" t="s">
        <v>1119</v>
      </c>
      <c r="C28" s="91" t="s">
        <v>1024</v>
      </c>
      <c r="D28" s="90" t="s">
        <v>1025</v>
      </c>
      <c r="E28" s="89" t="s">
        <v>1025</v>
      </c>
      <c r="F28" s="88" t="s">
        <v>1120</v>
      </c>
      <c r="G28" s="88" t="s">
        <v>1121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FF18-E514-4092-AA12-4AB3A93FD410}">
  <dimension ref="A1:H18"/>
  <sheetViews>
    <sheetView topLeftCell="A11" workbookViewId="0">
      <selection activeCell="J5" sqref="J5"/>
    </sheetView>
  </sheetViews>
  <sheetFormatPr baseColWidth="10" defaultRowHeight="15"/>
  <cols>
    <col min="1" max="1" width="26.5703125" customWidth="1"/>
    <col min="2" max="2" width="23.28515625" customWidth="1"/>
    <col min="3" max="3" width="21.42578125" customWidth="1"/>
    <col min="4" max="4" width="38.140625" customWidth="1"/>
    <col min="5" max="5" width="22.28515625" customWidth="1"/>
    <col min="6" max="6" width="29" customWidth="1"/>
    <col min="7" max="7" width="27.85546875" customWidth="1"/>
    <col min="8" max="8" width="24.28515625" customWidth="1"/>
  </cols>
  <sheetData>
    <row r="1" spans="1:8" ht="23.25">
      <c r="A1" s="132" t="s">
        <v>761</v>
      </c>
      <c r="B1" s="132"/>
      <c r="C1" s="132"/>
      <c r="D1" s="132"/>
      <c r="E1" s="132"/>
      <c r="F1" s="132"/>
      <c r="G1" s="132"/>
      <c r="H1" s="132"/>
    </row>
    <row r="2" spans="1:8">
      <c r="A2" s="133"/>
      <c r="B2" s="133"/>
      <c r="C2" s="133"/>
      <c r="D2" s="133"/>
      <c r="E2" s="133"/>
      <c r="F2" s="133"/>
      <c r="G2" s="133"/>
      <c r="H2" s="133"/>
    </row>
    <row r="3" spans="1:8">
      <c r="A3" s="39" t="s">
        <v>762</v>
      </c>
      <c r="B3" s="40" t="s">
        <v>763</v>
      </c>
      <c r="C3" s="40" t="s">
        <v>764</v>
      </c>
      <c r="D3" s="40" t="s">
        <v>765</v>
      </c>
      <c r="E3" s="40" t="s">
        <v>766</v>
      </c>
      <c r="F3" s="40" t="s">
        <v>767</v>
      </c>
      <c r="G3" s="40" t="s">
        <v>768</v>
      </c>
      <c r="H3" s="41" t="s">
        <v>769</v>
      </c>
    </row>
    <row r="4" spans="1:8" ht="25.5">
      <c r="A4" s="69" t="s">
        <v>770</v>
      </c>
      <c r="B4" s="69" t="s">
        <v>771</v>
      </c>
      <c r="C4" s="43" t="s">
        <v>46</v>
      </c>
      <c r="D4" s="43" t="s">
        <v>772</v>
      </c>
      <c r="E4" s="70" t="s">
        <v>773</v>
      </c>
      <c r="F4" s="43" t="s">
        <v>774</v>
      </c>
      <c r="G4" s="43" t="s">
        <v>775</v>
      </c>
      <c r="H4" s="43" t="s">
        <v>46</v>
      </c>
    </row>
    <row r="5" spans="1:8" ht="25.5">
      <c r="A5" s="71" t="s">
        <v>770</v>
      </c>
      <c r="B5" s="71" t="s">
        <v>776</v>
      </c>
      <c r="C5" s="46" t="s">
        <v>777</v>
      </c>
      <c r="D5" s="46" t="s">
        <v>778</v>
      </c>
      <c r="E5" s="72" t="s">
        <v>779</v>
      </c>
      <c r="F5" s="46" t="s">
        <v>780</v>
      </c>
      <c r="G5" s="46" t="s">
        <v>775</v>
      </c>
      <c r="H5" s="46" t="s">
        <v>781</v>
      </c>
    </row>
    <row r="6" spans="1:8" ht="25.5">
      <c r="A6" s="71" t="s">
        <v>770</v>
      </c>
      <c r="B6" s="71" t="s">
        <v>782</v>
      </c>
      <c r="C6" s="46" t="s">
        <v>783</v>
      </c>
      <c r="D6" s="46" t="s">
        <v>784</v>
      </c>
      <c r="E6" s="72" t="s">
        <v>785</v>
      </c>
      <c r="F6" s="46" t="s">
        <v>786</v>
      </c>
      <c r="G6" s="46" t="s">
        <v>787</v>
      </c>
      <c r="H6" s="46" t="s">
        <v>788</v>
      </c>
    </row>
    <row r="7" spans="1:8" ht="25.5">
      <c r="A7" s="71" t="s">
        <v>770</v>
      </c>
      <c r="B7" s="71" t="s">
        <v>789</v>
      </c>
      <c r="C7" s="46" t="s">
        <v>790</v>
      </c>
      <c r="D7" s="46" t="s">
        <v>791</v>
      </c>
      <c r="E7" s="72" t="s">
        <v>792</v>
      </c>
      <c r="F7" s="46" t="s">
        <v>793</v>
      </c>
      <c r="G7" s="46" t="s">
        <v>794</v>
      </c>
      <c r="H7" s="46" t="s">
        <v>795</v>
      </c>
    </row>
    <row r="8" spans="1:8">
      <c r="A8" s="71" t="s">
        <v>770</v>
      </c>
      <c r="B8" s="71" t="s">
        <v>796</v>
      </c>
      <c r="C8" s="46" t="s">
        <v>797</v>
      </c>
      <c r="D8" s="46" t="s">
        <v>798</v>
      </c>
      <c r="E8" s="72" t="s">
        <v>799</v>
      </c>
      <c r="F8" s="46" t="s">
        <v>800</v>
      </c>
      <c r="G8" s="46" t="s">
        <v>801</v>
      </c>
      <c r="H8" s="46" t="s">
        <v>788</v>
      </c>
    </row>
    <row r="9" spans="1:8" ht="25.5">
      <c r="A9" s="71" t="s">
        <v>770</v>
      </c>
      <c r="B9" s="71" t="s">
        <v>802</v>
      </c>
      <c r="C9" s="46" t="s">
        <v>130</v>
      </c>
      <c r="D9" s="46" t="s">
        <v>803</v>
      </c>
      <c r="E9" s="72" t="s">
        <v>804</v>
      </c>
      <c r="F9" s="46" t="s">
        <v>805</v>
      </c>
      <c r="G9" s="46" t="s">
        <v>806</v>
      </c>
      <c r="H9" s="46" t="s">
        <v>807</v>
      </c>
    </row>
    <row r="10" spans="1:8" ht="25.5">
      <c r="A10" s="71" t="s">
        <v>808</v>
      </c>
      <c r="B10" s="71" t="s">
        <v>809</v>
      </c>
      <c r="C10" s="46" t="s">
        <v>810</v>
      </c>
      <c r="D10" s="46" t="s">
        <v>811</v>
      </c>
      <c r="E10" s="72" t="s">
        <v>773</v>
      </c>
      <c r="F10" s="46" t="s">
        <v>812</v>
      </c>
      <c r="G10" s="46" t="s">
        <v>775</v>
      </c>
      <c r="H10" s="46" t="s">
        <v>813</v>
      </c>
    </row>
    <row r="11" spans="1:8" ht="25.5">
      <c r="A11" s="71" t="s">
        <v>808</v>
      </c>
      <c r="B11" s="71" t="s">
        <v>814</v>
      </c>
      <c r="C11" s="46" t="s">
        <v>815</v>
      </c>
      <c r="D11" s="46" t="s">
        <v>816</v>
      </c>
      <c r="E11" s="72" t="s">
        <v>785</v>
      </c>
      <c r="F11" s="46" t="s">
        <v>817</v>
      </c>
      <c r="G11" s="46" t="s">
        <v>818</v>
      </c>
      <c r="H11" s="46" t="s">
        <v>781</v>
      </c>
    </row>
    <row r="12" spans="1:8" ht="25.5">
      <c r="A12" s="71" t="s">
        <v>808</v>
      </c>
      <c r="B12" s="71" t="s">
        <v>819</v>
      </c>
      <c r="C12" s="46" t="s">
        <v>820</v>
      </c>
      <c r="D12" s="46" t="s">
        <v>821</v>
      </c>
      <c r="E12" s="72" t="s">
        <v>799</v>
      </c>
      <c r="F12" s="46" t="s">
        <v>822</v>
      </c>
      <c r="G12" s="46" t="s">
        <v>823</v>
      </c>
      <c r="H12" s="46" t="s">
        <v>824</v>
      </c>
    </row>
    <row r="13" spans="1:8" ht="25.5">
      <c r="A13" s="71" t="s">
        <v>825</v>
      </c>
      <c r="B13" s="71" t="s">
        <v>771</v>
      </c>
      <c r="C13" s="46" t="s">
        <v>46</v>
      </c>
      <c r="D13" s="46" t="s">
        <v>826</v>
      </c>
      <c r="E13" s="72" t="s">
        <v>827</v>
      </c>
      <c r="F13" s="46" t="s">
        <v>828</v>
      </c>
      <c r="G13" s="46" t="s">
        <v>775</v>
      </c>
      <c r="H13" s="46" t="s">
        <v>829</v>
      </c>
    </row>
    <row r="14" spans="1:8" ht="25.5">
      <c r="A14" s="71" t="s">
        <v>825</v>
      </c>
      <c r="B14" s="71" t="s">
        <v>830</v>
      </c>
      <c r="C14" s="46" t="s">
        <v>831</v>
      </c>
      <c r="D14" s="46" t="s">
        <v>832</v>
      </c>
      <c r="E14" s="72" t="s">
        <v>833</v>
      </c>
      <c r="F14" s="46" t="s">
        <v>834</v>
      </c>
      <c r="G14" s="46" t="s">
        <v>775</v>
      </c>
      <c r="H14" s="46" t="s">
        <v>835</v>
      </c>
    </row>
    <row r="15" spans="1:8" ht="25.5">
      <c r="A15" s="71" t="s">
        <v>825</v>
      </c>
      <c r="B15" s="71" t="s">
        <v>836</v>
      </c>
      <c r="C15" s="46" t="s">
        <v>46</v>
      </c>
      <c r="D15" s="46" t="s">
        <v>837</v>
      </c>
      <c r="E15" s="72" t="s">
        <v>838</v>
      </c>
      <c r="F15" s="46" t="s">
        <v>839</v>
      </c>
      <c r="G15" s="46" t="s">
        <v>775</v>
      </c>
      <c r="H15" s="46" t="s">
        <v>829</v>
      </c>
    </row>
    <row r="16" spans="1:8" ht="25.5">
      <c r="A16" s="71" t="s">
        <v>825</v>
      </c>
      <c r="B16" s="71" t="s">
        <v>840</v>
      </c>
      <c r="C16" s="46" t="s">
        <v>841</v>
      </c>
      <c r="D16" s="46" t="s">
        <v>842</v>
      </c>
      <c r="E16" s="72" t="s">
        <v>843</v>
      </c>
      <c r="F16" s="46" t="s">
        <v>844</v>
      </c>
      <c r="G16" s="46" t="s">
        <v>845</v>
      </c>
      <c r="H16" s="46" t="s">
        <v>846</v>
      </c>
    </row>
    <row r="17" spans="1:8" ht="25.5">
      <c r="A17" s="71" t="s">
        <v>825</v>
      </c>
      <c r="B17" s="71" t="s">
        <v>847</v>
      </c>
      <c r="C17" s="46" t="s">
        <v>848</v>
      </c>
      <c r="D17" s="46" t="s">
        <v>849</v>
      </c>
      <c r="E17" s="72" t="s">
        <v>850</v>
      </c>
      <c r="F17" s="46" t="s">
        <v>851</v>
      </c>
      <c r="G17" s="46" t="s">
        <v>852</v>
      </c>
      <c r="H17" s="46" t="s">
        <v>829</v>
      </c>
    </row>
    <row r="18" spans="1:8" ht="25.5">
      <c r="A18" s="73" t="s">
        <v>853</v>
      </c>
      <c r="B18" s="73" t="s">
        <v>854</v>
      </c>
      <c r="C18" s="49" t="s">
        <v>855</v>
      </c>
      <c r="D18" s="49" t="s">
        <v>856</v>
      </c>
      <c r="E18" s="74" t="s">
        <v>857</v>
      </c>
      <c r="F18" s="49" t="s">
        <v>858</v>
      </c>
      <c r="G18" s="49" t="s">
        <v>859</v>
      </c>
      <c r="H18" s="49" t="s">
        <v>860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61E6-1D4E-4808-9604-5529FE38D420}">
  <dimension ref="A1:I12"/>
  <sheetViews>
    <sheetView workbookViewId="0">
      <selection activeCell="K7" sqref="K7"/>
    </sheetView>
  </sheetViews>
  <sheetFormatPr baseColWidth="10" defaultRowHeight="15"/>
  <cols>
    <col min="1" max="1" width="20.42578125" customWidth="1"/>
    <col min="2" max="2" width="23" customWidth="1"/>
    <col min="3" max="3" width="23.7109375" customWidth="1"/>
    <col min="4" max="4" width="17" customWidth="1"/>
    <col min="5" max="5" width="21" customWidth="1"/>
    <col min="6" max="6" width="22" customWidth="1"/>
    <col min="7" max="7" width="21.28515625" customWidth="1"/>
    <col min="8" max="8" width="12.28515625" customWidth="1"/>
    <col min="9" max="9" width="31.7109375" customWidth="1"/>
  </cols>
  <sheetData>
    <row r="1" spans="1:9" ht="23.25">
      <c r="A1" s="132" t="s">
        <v>861</v>
      </c>
      <c r="B1" s="132"/>
      <c r="C1" s="132"/>
      <c r="D1" s="132"/>
      <c r="E1" s="132"/>
      <c r="F1" s="132"/>
      <c r="G1" s="132"/>
      <c r="H1" s="132"/>
      <c r="I1" s="132"/>
    </row>
    <row r="2" spans="1:9">
      <c r="A2" s="133"/>
      <c r="B2" s="133"/>
      <c r="C2" s="133"/>
      <c r="D2" s="133"/>
      <c r="E2" s="133"/>
      <c r="F2" s="133"/>
      <c r="G2" s="133"/>
      <c r="H2" s="133"/>
      <c r="I2" s="133"/>
    </row>
    <row r="3" spans="1:9">
      <c r="A3" s="39" t="s">
        <v>36</v>
      </c>
      <c r="B3" s="40" t="s">
        <v>862</v>
      </c>
      <c r="C3" s="40" t="s">
        <v>20</v>
      </c>
      <c r="D3" s="40" t="s">
        <v>23</v>
      </c>
      <c r="E3" s="40" t="s">
        <v>863</v>
      </c>
      <c r="F3" s="40" t="s">
        <v>864</v>
      </c>
      <c r="G3" s="40" t="s">
        <v>865</v>
      </c>
      <c r="H3" s="40" t="s">
        <v>324</v>
      </c>
      <c r="I3" s="41" t="s">
        <v>866</v>
      </c>
    </row>
    <row r="4" spans="1:9">
      <c r="A4" s="69" t="s">
        <v>46</v>
      </c>
      <c r="B4" s="44" t="s">
        <v>867</v>
      </c>
      <c r="C4" s="44" t="s">
        <v>868</v>
      </c>
      <c r="D4" s="44" t="s">
        <v>867</v>
      </c>
      <c r="E4" s="44" t="s">
        <v>867</v>
      </c>
      <c r="F4" s="44" t="s">
        <v>868</v>
      </c>
      <c r="G4" s="44" t="s">
        <v>155</v>
      </c>
      <c r="H4" s="44" t="s">
        <v>155</v>
      </c>
      <c r="I4" s="43" t="s">
        <v>869</v>
      </c>
    </row>
    <row r="5" spans="1:9" ht="25.5">
      <c r="A5" s="71" t="s">
        <v>107</v>
      </c>
      <c r="B5" s="47" t="s">
        <v>870</v>
      </c>
      <c r="C5" s="47" t="s">
        <v>870</v>
      </c>
      <c r="D5" s="47" t="s">
        <v>155</v>
      </c>
      <c r="E5" s="47" t="s">
        <v>155</v>
      </c>
      <c r="F5" s="47" t="s">
        <v>871</v>
      </c>
      <c r="G5" s="47" t="s">
        <v>155</v>
      </c>
      <c r="H5" s="47" t="s">
        <v>155</v>
      </c>
      <c r="I5" s="46" t="s">
        <v>872</v>
      </c>
    </row>
    <row r="6" spans="1:9" ht="59.25" customHeight="1">
      <c r="A6" s="71" t="s">
        <v>831</v>
      </c>
      <c r="B6" s="47" t="s">
        <v>873</v>
      </c>
      <c r="C6" s="47" t="s">
        <v>874</v>
      </c>
      <c r="D6" s="47" t="s">
        <v>875</v>
      </c>
      <c r="E6" s="47" t="s">
        <v>155</v>
      </c>
      <c r="F6" s="47" t="s">
        <v>876</v>
      </c>
      <c r="G6" s="47" t="s">
        <v>155</v>
      </c>
      <c r="H6" s="47" t="s">
        <v>50</v>
      </c>
      <c r="I6" s="46" t="s">
        <v>877</v>
      </c>
    </row>
    <row r="7" spans="1:9" ht="48.75" customHeight="1">
      <c r="A7" s="71" t="s">
        <v>130</v>
      </c>
      <c r="B7" s="47" t="s">
        <v>873</v>
      </c>
      <c r="C7" s="47" t="s">
        <v>50</v>
      </c>
      <c r="D7" s="47" t="s">
        <v>878</v>
      </c>
      <c r="E7" s="47" t="s">
        <v>50</v>
      </c>
      <c r="F7" s="47" t="s">
        <v>873</v>
      </c>
      <c r="G7" s="47" t="s">
        <v>155</v>
      </c>
      <c r="H7" s="47" t="s">
        <v>50</v>
      </c>
      <c r="I7" s="46" t="s">
        <v>879</v>
      </c>
    </row>
    <row r="8" spans="1:9" ht="25.5">
      <c r="A8" s="71" t="s">
        <v>137</v>
      </c>
      <c r="B8" s="47" t="s">
        <v>873</v>
      </c>
      <c r="C8" s="47" t="s">
        <v>50</v>
      </c>
      <c r="D8" s="47" t="s">
        <v>880</v>
      </c>
      <c r="E8" s="47" t="s">
        <v>50</v>
      </c>
      <c r="F8" s="47" t="s">
        <v>876</v>
      </c>
      <c r="G8" s="47" t="s">
        <v>155</v>
      </c>
      <c r="H8" s="47" t="s">
        <v>50</v>
      </c>
      <c r="I8" s="46" t="s">
        <v>881</v>
      </c>
    </row>
    <row r="9" spans="1:9" ht="64.5" customHeight="1">
      <c r="A9" s="71" t="s">
        <v>142</v>
      </c>
      <c r="B9" s="47" t="s">
        <v>873</v>
      </c>
      <c r="C9" s="47" t="s">
        <v>50</v>
      </c>
      <c r="D9" s="47" t="s">
        <v>50</v>
      </c>
      <c r="E9" s="47" t="s">
        <v>50</v>
      </c>
      <c r="F9" s="47" t="s">
        <v>882</v>
      </c>
      <c r="G9" s="47" t="s">
        <v>155</v>
      </c>
      <c r="H9" s="47" t="s">
        <v>50</v>
      </c>
      <c r="I9" s="46" t="s">
        <v>883</v>
      </c>
    </row>
    <row r="10" spans="1:9" ht="64.5" customHeight="1">
      <c r="A10" s="71" t="s">
        <v>884</v>
      </c>
      <c r="B10" s="47" t="s">
        <v>155</v>
      </c>
      <c r="C10" s="47" t="s">
        <v>155</v>
      </c>
      <c r="D10" s="47" t="s">
        <v>155</v>
      </c>
      <c r="E10" s="47" t="s">
        <v>155</v>
      </c>
      <c r="F10" s="47" t="s">
        <v>155</v>
      </c>
      <c r="G10" s="47" t="s">
        <v>50</v>
      </c>
      <c r="H10" s="47" t="s">
        <v>50</v>
      </c>
      <c r="I10" s="46" t="s">
        <v>885</v>
      </c>
    </row>
    <row r="11" spans="1:9" ht="78" customHeight="1">
      <c r="A11" s="71" t="s">
        <v>151</v>
      </c>
      <c r="B11" s="47" t="s">
        <v>886</v>
      </c>
      <c r="C11" s="47" t="s">
        <v>886</v>
      </c>
      <c r="D11" s="47" t="s">
        <v>886</v>
      </c>
      <c r="E11" s="47" t="s">
        <v>886</v>
      </c>
      <c r="F11" s="47" t="s">
        <v>873</v>
      </c>
      <c r="G11" s="47" t="s">
        <v>886</v>
      </c>
      <c r="H11" s="47" t="s">
        <v>50</v>
      </c>
      <c r="I11" s="46" t="s">
        <v>887</v>
      </c>
    </row>
    <row r="12" spans="1:9" ht="68.25" customHeight="1">
      <c r="A12" s="73" t="s">
        <v>888</v>
      </c>
      <c r="B12" s="50" t="s">
        <v>889</v>
      </c>
      <c r="C12" s="50" t="s">
        <v>890</v>
      </c>
      <c r="D12" s="50" t="s">
        <v>891</v>
      </c>
      <c r="E12" s="50" t="s">
        <v>890</v>
      </c>
      <c r="F12" s="50" t="s">
        <v>892</v>
      </c>
      <c r="G12" s="50" t="s">
        <v>155</v>
      </c>
      <c r="H12" s="50" t="s">
        <v>50</v>
      </c>
      <c r="I12" s="49" t="s">
        <v>893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0848-4C63-4253-8E8C-A412DE1854E2}">
  <dimension ref="A1:I9"/>
  <sheetViews>
    <sheetView workbookViewId="0">
      <selection activeCell="G13" sqref="G13"/>
    </sheetView>
  </sheetViews>
  <sheetFormatPr baseColWidth="10" defaultRowHeight="15"/>
  <cols>
    <col min="1" max="1" width="12.42578125" customWidth="1"/>
    <col min="2" max="2" width="30.5703125" customWidth="1"/>
    <col min="3" max="3" width="30.140625" customWidth="1"/>
    <col min="4" max="4" width="36" customWidth="1"/>
    <col min="5" max="5" width="40.42578125" customWidth="1"/>
    <col min="6" max="6" width="28.7109375" customWidth="1"/>
    <col min="7" max="7" width="23" customWidth="1"/>
    <col min="8" max="8" width="24" customWidth="1"/>
    <col min="9" max="9" width="26.28515625" customWidth="1"/>
  </cols>
  <sheetData>
    <row r="1" spans="1:9" ht="23.25">
      <c r="A1" s="132" t="s">
        <v>894</v>
      </c>
      <c r="B1" s="132"/>
      <c r="C1" s="132"/>
      <c r="D1" s="132"/>
      <c r="E1" s="132"/>
      <c r="F1" s="132"/>
      <c r="G1" s="132"/>
      <c r="H1" s="132"/>
      <c r="I1" s="132"/>
    </row>
    <row r="2" spans="1:9">
      <c r="A2" s="133"/>
      <c r="B2" s="133"/>
      <c r="C2" s="133"/>
      <c r="D2" s="133"/>
      <c r="E2" s="133"/>
      <c r="F2" s="133"/>
      <c r="G2" s="133"/>
      <c r="H2" s="133"/>
      <c r="I2" s="133"/>
    </row>
    <row r="3" spans="1:9">
      <c r="A3" s="39" t="s">
        <v>895</v>
      </c>
      <c r="B3" s="40" t="s">
        <v>896</v>
      </c>
      <c r="C3" s="40" t="s">
        <v>36</v>
      </c>
      <c r="D3" s="40" t="s">
        <v>897</v>
      </c>
      <c r="E3" s="40" t="s">
        <v>898</v>
      </c>
      <c r="F3" s="40" t="s">
        <v>899</v>
      </c>
      <c r="G3" s="40" t="s">
        <v>900</v>
      </c>
      <c r="H3" s="40" t="s">
        <v>901</v>
      </c>
      <c r="I3" s="41" t="s">
        <v>902</v>
      </c>
    </row>
    <row r="4" spans="1:9" ht="25.5">
      <c r="A4" s="61">
        <v>1</v>
      </c>
      <c r="B4" s="75" t="s">
        <v>903</v>
      </c>
      <c r="C4" s="76" t="s">
        <v>904</v>
      </c>
      <c r="D4" s="43" t="s">
        <v>905</v>
      </c>
      <c r="E4" s="43" t="s">
        <v>906</v>
      </c>
      <c r="F4" s="43" t="s">
        <v>907</v>
      </c>
      <c r="G4" s="43" t="s">
        <v>908</v>
      </c>
      <c r="H4" s="43" t="s">
        <v>909</v>
      </c>
      <c r="I4" s="43" t="s">
        <v>910</v>
      </c>
    </row>
    <row r="5" spans="1:9" ht="38.25">
      <c r="A5" s="63">
        <v>2</v>
      </c>
      <c r="B5" s="77" t="s">
        <v>911</v>
      </c>
      <c r="C5" s="78" t="s">
        <v>912</v>
      </c>
      <c r="D5" s="46" t="s">
        <v>913</v>
      </c>
      <c r="E5" s="46" t="s">
        <v>914</v>
      </c>
      <c r="F5" s="46" t="s">
        <v>915</v>
      </c>
      <c r="G5" s="46" t="s">
        <v>916</v>
      </c>
      <c r="H5" s="46" t="s">
        <v>917</v>
      </c>
      <c r="I5" s="46" t="s">
        <v>918</v>
      </c>
    </row>
    <row r="6" spans="1:9" ht="38.25">
      <c r="A6" s="63">
        <v>3</v>
      </c>
      <c r="B6" s="77" t="s">
        <v>919</v>
      </c>
      <c r="C6" s="78" t="s">
        <v>920</v>
      </c>
      <c r="D6" s="46" t="s">
        <v>921</v>
      </c>
      <c r="E6" s="46" t="s">
        <v>922</v>
      </c>
      <c r="F6" s="46" t="s">
        <v>923</v>
      </c>
      <c r="G6" s="46" t="s">
        <v>924</v>
      </c>
      <c r="H6" s="46" t="s">
        <v>917</v>
      </c>
      <c r="I6" s="46" t="s">
        <v>918</v>
      </c>
    </row>
    <row r="7" spans="1:9" ht="25.5">
      <c r="A7" s="63">
        <v>4</v>
      </c>
      <c r="B7" s="77" t="s">
        <v>925</v>
      </c>
      <c r="C7" s="78" t="s">
        <v>926</v>
      </c>
      <c r="D7" s="46" t="s">
        <v>927</v>
      </c>
      <c r="E7" s="46" t="s">
        <v>928</v>
      </c>
      <c r="F7" s="46" t="s">
        <v>929</v>
      </c>
      <c r="G7" s="46" t="s">
        <v>930</v>
      </c>
      <c r="H7" s="46" t="s">
        <v>917</v>
      </c>
      <c r="I7" s="46" t="s">
        <v>918</v>
      </c>
    </row>
    <row r="8" spans="1:9" ht="38.25">
      <c r="A8" s="63">
        <v>5</v>
      </c>
      <c r="B8" s="77" t="s">
        <v>931</v>
      </c>
      <c r="C8" s="78" t="s">
        <v>932</v>
      </c>
      <c r="D8" s="46" t="s">
        <v>933</v>
      </c>
      <c r="E8" s="46" t="s">
        <v>934</v>
      </c>
      <c r="F8" s="46" t="s">
        <v>935</v>
      </c>
      <c r="G8" s="46" t="s">
        <v>936</v>
      </c>
      <c r="H8" s="46" t="s">
        <v>917</v>
      </c>
      <c r="I8" s="46" t="s">
        <v>918</v>
      </c>
    </row>
    <row r="9" spans="1:9" ht="38.25">
      <c r="A9" s="65">
        <v>6</v>
      </c>
      <c r="B9" s="79"/>
      <c r="C9" s="80" t="s">
        <v>937</v>
      </c>
      <c r="D9" s="49" t="s">
        <v>938</v>
      </c>
      <c r="E9" s="49" t="s">
        <v>939</v>
      </c>
      <c r="F9" s="49" t="s">
        <v>940</v>
      </c>
      <c r="G9" s="49" t="s">
        <v>941</v>
      </c>
      <c r="H9" s="49" t="s">
        <v>917</v>
      </c>
      <c r="I9" s="49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Historias de Usuario</vt:lpstr>
      <vt:lpstr>Criterios Aceptacion</vt:lpstr>
      <vt:lpstr>Requerimientos Func-NoFunc</vt:lpstr>
      <vt:lpstr>Backlog</vt:lpstr>
      <vt:lpstr>Plan de Sprints</vt:lpstr>
      <vt:lpstr>Gantt</vt:lpstr>
      <vt:lpstr>Matriz de Riesgos</vt:lpstr>
      <vt:lpstr>Flujo Financiero</vt:lpstr>
      <vt:lpstr>Matriz de acceso</vt:lpstr>
      <vt:lpstr>Equipo y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JEREMY PIERO ROJAS EGUSQUIZA</dc:creator>
  <cp:lastModifiedBy>ALUMNO - JHEAMPIERRE JOHAYRO RALLI PERALTA</cp:lastModifiedBy>
  <cp:revision>0</cp:revision>
  <dcterms:created xsi:type="dcterms:W3CDTF">2026-09-08T14:07:06Z</dcterms:created>
  <dcterms:modified xsi:type="dcterms:W3CDTF">2026-09-12T00:47:34Z</dcterms:modified>
  <dc:language>en-US</dc:language>
</cp:coreProperties>
</file>